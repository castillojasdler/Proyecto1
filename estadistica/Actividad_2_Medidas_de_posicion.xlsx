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átula" sheetId="1" state="visible" r:id="rId1"/>
    <sheet name="Datos" sheetId="2" state="visible" r:id="rId2"/>
    <sheet name="1. Selección" sheetId="3" state="visible" r:id="rId3"/>
    <sheet name="2. Cálculo manual" sheetId="4" state="visible" r:id="rId4"/>
    <sheet name="3. Software (Excel)" sheetId="5" state="visible" r:id="rId5"/>
    <sheet name="4. Comparación" sheetId="6" state="visible" r:id="rId6"/>
    <sheet name="5. Pregun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##"/>
    <numFmt numFmtId="166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sz val="11"/>
    </font>
    <font>
      <name val="Calibri"/>
      <b val="1"/>
      <color rgb="001F4E78"/>
      <sz val="14"/>
    </font>
    <font>
      <name val="Calibri"/>
      <color rgb="001F4E78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i val="1"/>
      <sz val="11"/>
    </font>
    <font>
      <name val="Calibri"/>
      <b val="1"/>
      <color rgb="001F4E78"/>
      <sz val="12"/>
    </font>
    <font>
      <name val="Calibri"/>
      <b val="1"/>
      <color rgb="00C00000"/>
      <sz val="11"/>
    </font>
    <font>
      <name val="Calibri"/>
      <color rgb="00008000"/>
      <sz val="11"/>
    </font>
    <font>
      <name val="Calibr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7" fillId="2" borderId="0" pivotButton="0" quotePrefix="0" xfId="0"/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pivotButton="0" quotePrefix="0" xfId="0"/>
    <xf numFmtId="0" fontId="6" fillId="5" borderId="0" pivotButton="0" quotePrefix="0" xfId="0"/>
    <xf numFmtId="0" fontId="6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  <xf numFmtId="166" fontId="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3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3">
      <c r="B3" s="1" t="inlineStr">
        <is>
          <t>UNIVERSIDAD NACIONAL SANTIAGO ANTÚNEZ DE MAYOLO</t>
        </is>
      </c>
    </row>
    <row r="4">
      <c r="B4" s="2" t="inlineStr">
        <is>
          <t>FACULTAD DE ECONOMÍA Y CONTABILIDAD</t>
        </is>
      </c>
    </row>
    <row r="5">
      <c r="B5" s="2" t="inlineStr">
        <is>
          <t>ESCUELA PROFESIONAL DE CONTABILIDAD</t>
        </is>
      </c>
    </row>
    <row r="6">
      <c r="B6" s="3" t="inlineStr"/>
    </row>
    <row r="7">
      <c r="B7" s="4" t="inlineStr">
        <is>
          <t>ACTIVIDAD PRÁCTICA II: MEDIDAS DE POSICIÓN</t>
        </is>
      </c>
    </row>
    <row r="8">
      <c r="B8" s="5" t="inlineStr">
        <is>
          <t>Media aritmética, mediana y moda</t>
        </is>
      </c>
    </row>
    <row r="9">
      <c r="B9" s="3" t="inlineStr"/>
    </row>
    <row r="10">
      <c r="B10" s="6" t="inlineStr">
        <is>
          <t>CURSO: ESTADÍSTICA APLICADA A LOS NEGOCIOS</t>
        </is>
      </c>
    </row>
    <row r="11">
      <c r="B11" s="6" t="inlineStr">
        <is>
          <t>DOCENTE: Dra. ROBLES COLONIA SADITT ROCIO</t>
        </is>
      </c>
    </row>
    <row r="12">
      <c r="B12" s="3" t="inlineStr"/>
    </row>
    <row r="13">
      <c r="B13" s="6" t="inlineStr">
        <is>
          <t>ALUMNOS:</t>
        </is>
      </c>
    </row>
    <row r="14">
      <c r="B14" s="3" t="inlineStr">
        <is>
          <t>Castillo Perez Epifanio Jasdler</t>
        </is>
      </c>
    </row>
    <row r="15">
      <c r="B15" s="3" t="inlineStr">
        <is>
          <t>Cordova Perez Ilda Maria</t>
        </is>
      </c>
    </row>
    <row r="16">
      <c r="B16" s="3" t="inlineStr">
        <is>
          <t>Gonzáles Huaraz Jennifer</t>
        </is>
      </c>
    </row>
    <row r="17">
      <c r="B17" s="3" t="inlineStr">
        <is>
          <t>Regalado Vilcapuma Xiomara</t>
        </is>
      </c>
    </row>
    <row r="18">
      <c r="B18" s="3" t="inlineStr"/>
    </row>
    <row r="19">
      <c r="B19" s="6" t="inlineStr">
        <is>
          <t>Huaraz - 2026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B2:K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7" customWidth="1" min="3" max="3"/>
    <col width="7" customWidth="1" min="4" max="4"/>
    <col width="15" customWidth="1" min="5" max="5"/>
    <col width="15" customWidth="1" min="6" max="6"/>
    <col width="11" customWidth="1" min="7" max="7"/>
    <col width="11" customWidth="1" min="8" max="8"/>
    <col width="11" customWidth="1" min="9" max="9"/>
    <col width="16" customWidth="1" min="10" max="10"/>
    <col width="10" customWidth="1" min="11" max="11"/>
  </cols>
  <sheetData>
    <row r="2">
      <c r="B2" s="7" t="inlineStr">
        <is>
          <t>BASE DE DATOS: 40 clientes atendidos en una jornada</t>
        </is>
      </c>
    </row>
    <row r="4">
      <c r="B4" s="8" t="inlineStr">
        <is>
          <t>Cliente</t>
        </is>
      </c>
      <c r="C4" s="8" t="inlineStr">
        <is>
          <t>Sexo</t>
        </is>
      </c>
      <c r="D4" s="8" t="inlineStr">
        <is>
          <t>Edad</t>
        </is>
      </c>
      <c r="E4" s="8" t="inlineStr">
        <is>
          <t>Comprobante</t>
        </is>
      </c>
      <c r="F4" s="8" t="inlineStr">
        <is>
          <t>Pago</t>
        </is>
      </c>
      <c r="G4" s="8" t="inlineStr">
        <is>
          <t>Productos</t>
        </is>
      </c>
      <c r="H4" s="8" t="inlineStr">
        <is>
          <t>Monto (S/)</t>
        </is>
      </c>
      <c r="I4" s="8" t="inlineStr">
        <is>
          <t>Tiempo (min)</t>
        </is>
      </c>
      <c r="J4" s="8" t="inlineStr">
        <is>
          <t>Satisfacción</t>
        </is>
      </c>
      <c r="K4" s="8" t="inlineStr">
        <is>
          <t>Reclamo</t>
        </is>
      </c>
    </row>
    <row r="5">
      <c r="B5" s="9" t="n">
        <v>1</v>
      </c>
      <c r="C5" s="9" t="inlineStr">
        <is>
          <t>F</t>
        </is>
      </c>
      <c r="D5" s="9" t="n">
        <v>22</v>
      </c>
      <c r="E5" s="9" t="inlineStr">
        <is>
          <t>Boleta</t>
        </is>
      </c>
      <c r="F5" s="9" t="inlineStr">
        <is>
          <t>Yape</t>
        </is>
      </c>
      <c r="G5" s="9" t="n">
        <v>3</v>
      </c>
      <c r="H5" s="10" t="n">
        <v>85.5</v>
      </c>
      <c r="I5" s="9" t="n">
        <v>8</v>
      </c>
      <c r="J5" s="9" t="inlineStr">
        <is>
          <t>Satisfecho</t>
        </is>
      </c>
      <c r="K5" s="9" t="inlineStr">
        <is>
          <t>No</t>
        </is>
      </c>
    </row>
    <row r="6">
      <c r="B6" s="9" t="n">
        <v>2</v>
      </c>
      <c r="C6" s="9" t="inlineStr">
        <is>
          <t>M</t>
        </is>
      </c>
      <c r="D6" s="9" t="n">
        <v>35</v>
      </c>
      <c r="E6" s="9" t="inlineStr">
        <is>
          <t>Factura</t>
        </is>
      </c>
      <c r="F6" s="9" t="inlineStr">
        <is>
          <t>Tarjeta</t>
        </is>
      </c>
      <c r="G6" s="9" t="n">
        <v>5</v>
      </c>
      <c r="H6" s="10" t="n">
        <v>240</v>
      </c>
      <c r="I6" s="9" t="n">
        <v>15</v>
      </c>
      <c r="J6" s="9" t="inlineStr">
        <is>
          <t>Muy satisfecho</t>
        </is>
      </c>
      <c r="K6" s="9" t="inlineStr">
        <is>
          <t>No</t>
        </is>
      </c>
    </row>
    <row r="7">
      <c r="B7" s="9" t="n">
        <v>3</v>
      </c>
      <c r="C7" s="9" t="inlineStr">
        <is>
          <t>F</t>
        </is>
      </c>
      <c r="D7" s="9" t="n">
        <v>28</v>
      </c>
      <c r="E7" s="9" t="inlineStr">
        <is>
          <t>Boleta</t>
        </is>
      </c>
      <c r="F7" s="9" t="inlineStr">
        <is>
          <t>Efectivo</t>
        </is>
      </c>
      <c r="G7" s="9" t="n">
        <v>2</v>
      </c>
      <c r="H7" s="10" t="n">
        <v>55</v>
      </c>
      <c r="I7" s="9" t="n">
        <v>7</v>
      </c>
      <c r="J7" s="9" t="inlineStr">
        <is>
          <t>Regular</t>
        </is>
      </c>
      <c r="K7" s="9" t="inlineStr">
        <is>
          <t>No</t>
        </is>
      </c>
    </row>
    <row r="8">
      <c r="B8" s="9" t="n">
        <v>4</v>
      </c>
      <c r="C8" s="9" t="inlineStr">
        <is>
          <t>M</t>
        </is>
      </c>
      <c r="D8" s="9" t="n">
        <v>42</v>
      </c>
      <c r="E8" s="9" t="inlineStr">
        <is>
          <t>Factura</t>
        </is>
      </c>
      <c r="F8" s="9" t="inlineStr">
        <is>
          <t>Yape</t>
        </is>
      </c>
      <c r="G8" s="9" t="n">
        <v>7</v>
      </c>
      <c r="H8" s="10" t="n">
        <v>315.8</v>
      </c>
      <c r="I8" s="9" t="n">
        <v>21</v>
      </c>
      <c r="J8" s="9" t="inlineStr">
        <is>
          <t>Satisfecho</t>
        </is>
      </c>
      <c r="K8" s="9" t="inlineStr">
        <is>
          <t>Si</t>
        </is>
      </c>
    </row>
    <row r="9">
      <c r="B9" s="9" t="n">
        <v>5</v>
      </c>
      <c r="C9" s="9" t="inlineStr">
        <is>
          <t>F</t>
        </is>
      </c>
      <c r="D9" s="9" t="n">
        <v>31</v>
      </c>
      <c r="E9" s="9" t="inlineStr">
        <is>
          <t>Nota de venta</t>
        </is>
      </c>
      <c r="F9" s="9" t="inlineStr">
        <is>
          <t>Efectivo</t>
        </is>
      </c>
      <c r="G9" s="9" t="n">
        <v>4</v>
      </c>
      <c r="H9" s="10" t="n">
        <v>120.5</v>
      </c>
      <c r="I9" s="9" t="n">
        <v>12</v>
      </c>
      <c r="J9" s="9" t="inlineStr">
        <is>
          <t>Regular</t>
        </is>
      </c>
      <c r="K9" s="9" t="inlineStr">
        <is>
          <t>No</t>
        </is>
      </c>
    </row>
    <row r="10">
      <c r="B10" s="9" t="n">
        <v>6</v>
      </c>
      <c r="C10" s="9" t="inlineStr">
        <is>
          <t>M</t>
        </is>
      </c>
      <c r="D10" s="9" t="n">
        <v>25</v>
      </c>
      <c r="E10" s="9" t="inlineStr">
        <is>
          <t>Boleta</t>
        </is>
      </c>
      <c r="F10" s="9" t="inlineStr">
        <is>
          <t>Transferencia</t>
        </is>
      </c>
      <c r="G10" s="9" t="n">
        <v>3</v>
      </c>
      <c r="H10" s="10" t="n">
        <v>98</v>
      </c>
      <c r="I10" s="9" t="n">
        <v>10</v>
      </c>
      <c r="J10" s="9" t="inlineStr">
        <is>
          <t>Satisfecho</t>
        </is>
      </c>
      <c r="K10" s="9" t="inlineStr">
        <is>
          <t>No</t>
        </is>
      </c>
    </row>
    <row r="11">
      <c r="B11" s="9" t="n">
        <v>7</v>
      </c>
      <c r="C11" s="9" t="inlineStr">
        <is>
          <t>F</t>
        </is>
      </c>
      <c r="D11" s="9" t="n">
        <v>39</v>
      </c>
      <c r="E11" s="9" t="inlineStr">
        <is>
          <t>Factura</t>
        </is>
      </c>
      <c r="F11" s="9" t="inlineStr">
        <is>
          <t>Yape</t>
        </is>
      </c>
      <c r="G11" s="9" t="n">
        <v>8</v>
      </c>
      <c r="H11" s="10" t="n">
        <v>420</v>
      </c>
      <c r="I11" s="9" t="n">
        <v>25</v>
      </c>
      <c r="J11" s="9" t="inlineStr">
        <is>
          <t>Muy satisfecho</t>
        </is>
      </c>
      <c r="K11" s="9" t="inlineStr">
        <is>
          <t>No</t>
        </is>
      </c>
    </row>
    <row r="12">
      <c r="B12" s="9" t="n">
        <v>8</v>
      </c>
      <c r="C12" s="9" t="inlineStr">
        <is>
          <t>M</t>
        </is>
      </c>
      <c r="D12" s="9" t="n">
        <v>23</v>
      </c>
      <c r="E12" s="9" t="inlineStr">
        <is>
          <t>Boleta</t>
        </is>
      </c>
      <c r="F12" s="9" t="inlineStr">
        <is>
          <t>Tarjeta</t>
        </is>
      </c>
      <c r="G12" s="9" t="n">
        <v>2</v>
      </c>
      <c r="H12" s="10" t="n">
        <v>75.5</v>
      </c>
      <c r="I12" s="9" t="n">
        <v>9</v>
      </c>
      <c r="J12" s="9" t="inlineStr">
        <is>
          <t>Satisfecho</t>
        </is>
      </c>
      <c r="K12" s="9" t="inlineStr">
        <is>
          <t>No</t>
        </is>
      </c>
    </row>
    <row r="13">
      <c r="B13" s="9" t="n">
        <v>9</v>
      </c>
      <c r="C13" s="9" t="inlineStr">
        <is>
          <t>F</t>
        </is>
      </c>
      <c r="D13" s="9" t="n">
        <v>45</v>
      </c>
      <c r="E13" s="9" t="inlineStr">
        <is>
          <t>Factura</t>
        </is>
      </c>
      <c r="F13" s="9" t="inlineStr">
        <is>
          <t>Efectivo</t>
        </is>
      </c>
      <c r="G13" s="9" t="n">
        <v>6</v>
      </c>
      <c r="H13" s="10" t="n">
        <v>280</v>
      </c>
      <c r="I13" s="9" t="n">
        <v>18</v>
      </c>
      <c r="J13" s="9" t="inlineStr">
        <is>
          <t>Regular</t>
        </is>
      </c>
      <c r="K13" s="9" t="inlineStr">
        <is>
          <t>Si</t>
        </is>
      </c>
    </row>
    <row r="14">
      <c r="B14" s="9" t="n">
        <v>10</v>
      </c>
      <c r="C14" s="9" t="inlineStr">
        <is>
          <t>M</t>
        </is>
      </c>
      <c r="D14" s="9" t="n">
        <v>29</v>
      </c>
      <c r="E14" s="9" t="inlineStr">
        <is>
          <t>Boleta</t>
        </is>
      </c>
      <c r="F14" s="9" t="inlineStr">
        <is>
          <t>Yape</t>
        </is>
      </c>
      <c r="G14" s="9" t="n">
        <v>4</v>
      </c>
      <c r="H14" s="10" t="n">
        <v>135</v>
      </c>
      <c r="I14" s="9" t="n">
        <v>11</v>
      </c>
      <c r="J14" s="9" t="inlineStr">
        <is>
          <t>Muy satisfecho</t>
        </is>
      </c>
      <c r="K14" s="9" t="inlineStr">
        <is>
          <t>No</t>
        </is>
      </c>
    </row>
    <row r="15">
      <c r="B15" s="9" t="n">
        <v>11</v>
      </c>
      <c r="C15" s="9" t="inlineStr">
        <is>
          <t>F</t>
        </is>
      </c>
      <c r="D15" s="9" t="n">
        <v>34</v>
      </c>
      <c r="E15" s="9" t="inlineStr">
        <is>
          <t>Nota de venta</t>
        </is>
      </c>
      <c r="F15" s="9" t="inlineStr">
        <is>
          <t>Efectivo</t>
        </is>
      </c>
      <c r="G15" s="9" t="n">
        <v>3</v>
      </c>
      <c r="H15" s="10" t="n">
        <v>92</v>
      </c>
      <c r="I15" s="9" t="n">
        <v>10</v>
      </c>
      <c r="J15" s="9" t="inlineStr">
        <is>
          <t>Regular</t>
        </is>
      </c>
      <c r="K15" s="9" t="inlineStr">
        <is>
          <t>No</t>
        </is>
      </c>
    </row>
    <row r="16">
      <c r="B16" s="9" t="n">
        <v>12</v>
      </c>
      <c r="C16" s="9" t="inlineStr">
        <is>
          <t>M</t>
        </is>
      </c>
      <c r="D16" s="9" t="n">
        <v>48</v>
      </c>
      <c r="E16" s="9" t="inlineStr">
        <is>
          <t>Factura</t>
        </is>
      </c>
      <c r="F16" s="9" t="inlineStr">
        <is>
          <t>Transferencia</t>
        </is>
      </c>
      <c r="G16" s="9" t="n">
        <v>9</v>
      </c>
      <c r="H16" s="10" t="n">
        <v>510</v>
      </c>
      <c r="I16" s="9" t="n">
        <v>30</v>
      </c>
      <c r="J16" s="9" t="inlineStr">
        <is>
          <t>Satisfecho</t>
        </is>
      </c>
      <c r="K16" s="9" t="inlineStr">
        <is>
          <t>Si</t>
        </is>
      </c>
    </row>
    <row r="17">
      <c r="B17" s="9" t="n">
        <v>13</v>
      </c>
      <c r="C17" s="9" t="inlineStr">
        <is>
          <t>F</t>
        </is>
      </c>
      <c r="D17" s="9" t="n">
        <v>26</v>
      </c>
      <c r="E17" s="9" t="inlineStr">
        <is>
          <t>Boleta</t>
        </is>
      </c>
      <c r="F17" s="9" t="inlineStr">
        <is>
          <t>Yape</t>
        </is>
      </c>
      <c r="G17" s="9" t="n">
        <v>2</v>
      </c>
      <c r="H17" s="10" t="n">
        <v>68.5</v>
      </c>
      <c r="I17" s="9" t="n">
        <v>8</v>
      </c>
      <c r="J17" s="9" t="inlineStr">
        <is>
          <t>Muy satisfecho</t>
        </is>
      </c>
      <c r="K17" s="9" t="inlineStr">
        <is>
          <t>No</t>
        </is>
      </c>
    </row>
    <row r="18">
      <c r="B18" s="9" t="n">
        <v>14</v>
      </c>
      <c r="C18" s="9" t="inlineStr">
        <is>
          <t>M</t>
        </is>
      </c>
      <c r="D18" s="9" t="n">
        <v>37</v>
      </c>
      <c r="E18" s="9" t="inlineStr">
        <is>
          <t>Factura</t>
        </is>
      </c>
      <c r="F18" s="9" t="inlineStr">
        <is>
          <t>Tarjeta</t>
        </is>
      </c>
      <c r="G18" s="9" t="n">
        <v>5</v>
      </c>
      <c r="H18" s="10" t="n">
        <v>215</v>
      </c>
      <c r="I18" s="9" t="n">
        <v>16</v>
      </c>
      <c r="J18" s="9" t="inlineStr">
        <is>
          <t>Satisfecho</t>
        </is>
      </c>
      <c r="K18" s="9" t="inlineStr">
        <is>
          <t>No</t>
        </is>
      </c>
    </row>
    <row r="19">
      <c r="B19" s="9" t="n">
        <v>15</v>
      </c>
      <c r="C19" s="9" t="inlineStr">
        <is>
          <t>F</t>
        </is>
      </c>
      <c r="D19" s="9" t="n">
        <v>30</v>
      </c>
      <c r="E19" s="9" t="inlineStr">
        <is>
          <t>Boleta</t>
        </is>
      </c>
      <c r="F19" s="9" t="inlineStr">
        <is>
          <t>Efectivo</t>
        </is>
      </c>
      <c r="G19" s="9" t="n">
        <v>3</v>
      </c>
      <c r="H19" s="10" t="n">
        <v>110</v>
      </c>
      <c r="I19" s="9" t="n">
        <v>12</v>
      </c>
      <c r="J19" s="9" t="inlineStr">
        <is>
          <t>Satisfecho</t>
        </is>
      </c>
      <c r="K19" s="9" t="inlineStr">
        <is>
          <t>No</t>
        </is>
      </c>
    </row>
    <row r="20">
      <c r="B20" s="9" t="n">
        <v>16</v>
      </c>
      <c r="C20" s="9" t="inlineStr">
        <is>
          <t>M</t>
        </is>
      </c>
      <c r="D20" s="9" t="n">
        <v>41</v>
      </c>
      <c r="E20" s="9" t="inlineStr">
        <is>
          <t>Nota de venta</t>
        </is>
      </c>
      <c r="F20" s="9" t="inlineStr">
        <is>
          <t>Yape</t>
        </is>
      </c>
      <c r="G20" s="9" t="n">
        <v>4</v>
      </c>
      <c r="H20" s="10" t="n">
        <v>145.5</v>
      </c>
      <c r="I20" s="9" t="n">
        <v>14</v>
      </c>
      <c r="J20" s="9" t="inlineStr">
        <is>
          <t>Regular</t>
        </is>
      </c>
      <c r="K20" s="9" t="inlineStr">
        <is>
          <t>No</t>
        </is>
      </c>
    </row>
    <row r="21">
      <c r="B21" s="9" t="n">
        <v>17</v>
      </c>
      <c r="C21" s="9" t="inlineStr">
        <is>
          <t>F</t>
        </is>
      </c>
      <c r="D21" s="9" t="n">
        <v>33</v>
      </c>
      <c r="E21" s="9" t="inlineStr">
        <is>
          <t>Factura</t>
        </is>
      </c>
      <c r="F21" s="9" t="inlineStr">
        <is>
          <t>Transferencia</t>
        </is>
      </c>
      <c r="G21" s="9" t="n">
        <v>7</v>
      </c>
      <c r="H21" s="10" t="n">
        <v>350</v>
      </c>
      <c r="I21" s="9" t="n">
        <v>22</v>
      </c>
      <c r="J21" s="9" t="inlineStr">
        <is>
          <t>Muy satisfecho</t>
        </is>
      </c>
      <c r="K21" s="9" t="inlineStr">
        <is>
          <t>No</t>
        </is>
      </c>
    </row>
    <row r="22">
      <c r="B22" s="9" t="n">
        <v>18</v>
      </c>
      <c r="C22" s="9" t="inlineStr">
        <is>
          <t>M</t>
        </is>
      </c>
      <c r="D22" s="9" t="n">
        <v>24</v>
      </c>
      <c r="E22" s="9" t="inlineStr">
        <is>
          <t>Boleta</t>
        </is>
      </c>
      <c r="F22" s="9" t="inlineStr">
        <is>
          <t>Efectivo</t>
        </is>
      </c>
      <c r="G22" s="9" t="n">
        <v>2</v>
      </c>
      <c r="H22" s="10" t="n">
        <v>60</v>
      </c>
      <c r="I22" s="9" t="n">
        <v>7</v>
      </c>
      <c r="J22" s="9" t="inlineStr">
        <is>
          <t>Satisfecho</t>
        </is>
      </c>
      <c r="K22" s="9" t="inlineStr">
        <is>
          <t>No</t>
        </is>
      </c>
    </row>
    <row r="23">
      <c r="B23" s="9" t="n">
        <v>19</v>
      </c>
      <c r="C23" s="9" t="inlineStr">
        <is>
          <t>F</t>
        </is>
      </c>
      <c r="D23" s="9" t="n">
        <v>36</v>
      </c>
      <c r="E23" s="9" t="inlineStr">
        <is>
          <t>Factura</t>
        </is>
      </c>
      <c r="F23" s="9" t="inlineStr">
        <is>
          <t>Yape</t>
        </is>
      </c>
      <c r="G23" s="9" t="n">
        <v>6</v>
      </c>
      <c r="H23" s="10" t="n">
        <v>275</v>
      </c>
      <c r="I23" s="9" t="n">
        <v>19</v>
      </c>
      <c r="J23" s="9" t="inlineStr">
        <is>
          <t>Satisfecho</t>
        </is>
      </c>
      <c r="K23" s="9" t="inlineStr">
        <is>
          <t>No</t>
        </is>
      </c>
    </row>
    <row r="24">
      <c r="B24" s="9" t="n">
        <v>20</v>
      </c>
      <c r="C24" s="9" t="inlineStr">
        <is>
          <t>M</t>
        </is>
      </c>
      <c r="D24" s="9" t="n">
        <v>27</v>
      </c>
      <c r="E24" s="9" t="inlineStr">
        <is>
          <t>Boleta</t>
        </is>
      </c>
      <c r="F24" s="9" t="inlineStr">
        <is>
          <t>Tarjeta</t>
        </is>
      </c>
      <c r="G24" s="9" t="n">
        <v>3</v>
      </c>
      <c r="H24" s="10" t="n">
        <v>125</v>
      </c>
      <c r="I24" s="9" t="n">
        <v>11</v>
      </c>
      <c r="J24" s="9" t="inlineStr">
        <is>
          <t>Regular</t>
        </is>
      </c>
      <c r="K24" s="9" t="inlineStr">
        <is>
          <t>No</t>
        </is>
      </c>
    </row>
    <row r="25">
      <c r="B25" s="9" t="n">
        <v>21</v>
      </c>
      <c r="C25" s="9" t="inlineStr">
        <is>
          <t>F</t>
        </is>
      </c>
      <c r="D25" s="9" t="n">
        <v>44</v>
      </c>
      <c r="E25" s="9" t="inlineStr">
        <is>
          <t>Factura</t>
        </is>
      </c>
      <c r="F25" s="9" t="inlineStr">
        <is>
          <t>Efectivo</t>
        </is>
      </c>
      <c r="G25" s="9" t="n">
        <v>8</v>
      </c>
      <c r="H25" s="10" t="n">
        <v>390</v>
      </c>
      <c r="I25" s="9" t="n">
        <v>27</v>
      </c>
      <c r="J25" s="9" t="inlineStr">
        <is>
          <t>Muy satisfecho</t>
        </is>
      </c>
      <c r="K25" s="9" t="inlineStr">
        <is>
          <t>No</t>
        </is>
      </c>
    </row>
    <row r="26">
      <c r="B26" s="9" t="n">
        <v>22</v>
      </c>
      <c r="C26" s="9" t="inlineStr">
        <is>
          <t>M</t>
        </is>
      </c>
      <c r="D26" s="9" t="n">
        <v>32</v>
      </c>
      <c r="E26" s="9" t="inlineStr">
        <is>
          <t>Nota de venta</t>
        </is>
      </c>
      <c r="F26" s="9" t="inlineStr">
        <is>
          <t>Yape</t>
        </is>
      </c>
      <c r="G26" s="9" t="n">
        <v>5</v>
      </c>
      <c r="H26" s="10" t="n">
        <v>180</v>
      </c>
      <c r="I26" s="9" t="n">
        <v>15</v>
      </c>
      <c r="J26" s="9" t="inlineStr">
        <is>
          <t>Satisfecho</t>
        </is>
      </c>
      <c r="K26" s="9" t="inlineStr">
        <is>
          <t>No</t>
        </is>
      </c>
    </row>
    <row r="27">
      <c r="B27" s="9" t="n">
        <v>23</v>
      </c>
      <c r="C27" s="9" t="inlineStr">
        <is>
          <t>F</t>
        </is>
      </c>
      <c r="D27" s="9" t="n">
        <v>21</v>
      </c>
      <c r="E27" s="9" t="inlineStr">
        <is>
          <t>Boleta</t>
        </is>
      </c>
      <c r="F27" s="9" t="inlineStr">
        <is>
          <t>Transferencia</t>
        </is>
      </c>
      <c r="G27" s="9" t="n">
        <v>2</v>
      </c>
      <c r="H27" s="10" t="n">
        <v>72</v>
      </c>
      <c r="I27" s="9" t="n">
        <v>8</v>
      </c>
      <c r="J27" s="9" t="inlineStr">
        <is>
          <t>Regular</t>
        </is>
      </c>
      <c r="K27" s="9" t="inlineStr">
        <is>
          <t>No</t>
        </is>
      </c>
    </row>
    <row r="28">
      <c r="B28" s="9" t="n">
        <v>24</v>
      </c>
      <c r="C28" s="9" t="inlineStr">
        <is>
          <t>M</t>
        </is>
      </c>
      <c r="D28" s="9" t="n">
        <v>38</v>
      </c>
      <c r="E28" s="9" t="inlineStr">
        <is>
          <t>Factura</t>
        </is>
      </c>
      <c r="F28" s="9" t="inlineStr">
        <is>
          <t>Tarjeta</t>
        </is>
      </c>
      <c r="G28" s="9" t="n">
        <v>6</v>
      </c>
      <c r="H28" s="10" t="n">
        <v>260</v>
      </c>
      <c r="I28" s="9" t="n">
        <v>20</v>
      </c>
      <c r="J28" s="9" t="inlineStr">
        <is>
          <t>Satisfecho</t>
        </is>
      </c>
      <c r="K28" s="9" t="inlineStr">
        <is>
          <t>Si</t>
        </is>
      </c>
    </row>
    <row r="29">
      <c r="B29" s="9" t="n">
        <v>25</v>
      </c>
      <c r="C29" s="9" t="inlineStr">
        <is>
          <t>F</t>
        </is>
      </c>
      <c r="D29" s="9" t="n">
        <v>29</v>
      </c>
      <c r="E29" s="9" t="inlineStr">
        <is>
          <t>Boleta</t>
        </is>
      </c>
      <c r="F29" s="9" t="inlineStr">
        <is>
          <t>Efectivo</t>
        </is>
      </c>
      <c r="G29" s="9" t="n">
        <v>4</v>
      </c>
      <c r="H29" s="10" t="n">
        <v>150</v>
      </c>
      <c r="I29" s="9" t="n">
        <v>13</v>
      </c>
      <c r="J29" s="9" t="inlineStr">
        <is>
          <t>Muy satisfecho</t>
        </is>
      </c>
      <c r="K29" s="9" t="inlineStr">
        <is>
          <t>No</t>
        </is>
      </c>
    </row>
    <row r="30">
      <c r="B30" s="9" t="n">
        <v>26</v>
      </c>
      <c r="C30" s="9" t="inlineStr">
        <is>
          <t>M</t>
        </is>
      </c>
      <c r="D30" s="9" t="n">
        <v>43</v>
      </c>
      <c r="E30" s="9" t="inlineStr">
        <is>
          <t>Factura</t>
        </is>
      </c>
      <c r="F30" s="9" t="inlineStr">
        <is>
          <t>Yape</t>
        </is>
      </c>
      <c r="G30" s="9" t="n">
        <v>7</v>
      </c>
      <c r="H30" s="10" t="n">
        <v>325</v>
      </c>
      <c r="I30" s="9" t="n">
        <v>23</v>
      </c>
      <c r="J30" s="9" t="inlineStr">
        <is>
          <t>Satisfecho</t>
        </is>
      </c>
      <c r="K30" s="9" t="inlineStr">
        <is>
          <t>No</t>
        </is>
      </c>
    </row>
    <row r="31">
      <c r="B31" s="9" t="n">
        <v>27</v>
      </c>
      <c r="C31" s="9" t="inlineStr">
        <is>
          <t>F</t>
        </is>
      </c>
      <c r="D31" s="9" t="n">
        <v>35</v>
      </c>
      <c r="E31" s="9" t="inlineStr">
        <is>
          <t>Nota de venta</t>
        </is>
      </c>
      <c r="F31" s="9" t="inlineStr">
        <is>
          <t>Transferencia</t>
        </is>
      </c>
      <c r="G31" s="9" t="n">
        <v>3</v>
      </c>
      <c r="H31" s="10" t="n">
        <v>105</v>
      </c>
      <c r="I31" s="9" t="n">
        <v>10</v>
      </c>
      <c r="J31" s="9" t="inlineStr">
        <is>
          <t>Regular</t>
        </is>
      </c>
      <c r="K31" s="9" t="inlineStr">
        <is>
          <t>No</t>
        </is>
      </c>
    </row>
    <row r="32">
      <c r="B32" s="9" t="n">
        <v>28</v>
      </c>
      <c r="C32" s="9" t="inlineStr">
        <is>
          <t>M</t>
        </is>
      </c>
      <c r="D32" s="9" t="n">
        <v>22</v>
      </c>
      <c r="E32" s="9" t="inlineStr">
        <is>
          <t>Boleta</t>
        </is>
      </c>
      <c r="F32" s="9" t="inlineStr">
        <is>
          <t>Efectivo</t>
        </is>
      </c>
      <c r="G32" s="9" t="n">
        <v>2</v>
      </c>
      <c r="H32" s="10" t="n">
        <v>58</v>
      </c>
      <c r="I32" s="9" t="n">
        <v>7</v>
      </c>
      <c r="J32" s="9" t="inlineStr">
        <is>
          <t>Satisfecho</t>
        </is>
      </c>
      <c r="K32" s="9" t="inlineStr">
        <is>
          <t>No</t>
        </is>
      </c>
    </row>
    <row r="33">
      <c r="B33" s="9" t="n">
        <v>29</v>
      </c>
      <c r="C33" s="9" t="inlineStr">
        <is>
          <t>F</t>
        </is>
      </c>
      <c r="D33" s="9" t="n">
        <v>40</v>
      </c>
      <c r="E33" s="9" t="inlineStr">
        <is>
          <t>Factura</t>
        </is>
      </c>
      <c r="F33" s="9" t="inlineStr">
        <is>
          <t>Tarjeta</t>
        </is>
      </c>
      <c r="G33" s="9" t="n">
        <v>9</v>
      </c>
      <c r="H33" s="10" t="n">
        <v>480</v>
      </c>
      <c r="I33" s="9" t="n">
        <v>29</v>
      </c>
      <c r="J33" s="9" t="inlineStr">
        <is>
          <t>Muy satisfecho</t>
        </is>
      </c>
      <c r="K33" s="9" t="inlineStr">
        <is>
          <t>No</t>
        </is>
      </c>
    </row>
    <row r="34">
      <c r="B34" s="9" t="n">
        <v>30</v>
      </c>
      <c r="C34" s="9" t="inlineStr">
        <is>
          <t>M</t>
        </is>
      </c>
      <c r="D34" s="9" t="n">
        <v>26</v>
      </c>
      <c r="E34" s="9" t="inlineStr">
        <is>
          <t>Boleta</t>
        </is>
      </c>
      <c r="F34" s="9" t="inlineStr">
        <is>
          <t>Yape</t>
        </is>
      </c>
      <c r="G34" s="9" t="n">
        <v>5</v>
      </c>
      <c r="H34" s="10" t="n">
        <v>195</v>
      </c>
      <c r="I34" s="9" t="n">
        <v>14</v>
      </c>
      <c r="J34" s="9" t="inlineStr">
        <is>
          <t>Satisfecho</t>
        </is>
      </c>
      <c r="K34" s="9" t="inlineStr">
        <is>
          <t>No</t>
        </is>
      </c>
    </row>
    <row r="35">
      <c r="B35" s="9" t="n">
        <v>31</v>
      </c>
      <c r="C35" s="9" t="inlineStr">
        <is>
          <t>F</t>
        </is>
      </c>
      <c r="D35" s="9" t="n">
        <v>47</v>
      </c>
      <c r="E35" s="9" t="inlineStr">
        <is>
          <t>Factura</t>
        </is>
      </c>
      <c r="F35" s="9" t="inlineStr">
        <is>
          <t>Efectivo</t>
        </is>
      </c>
      <c r="G35" s="9" t="n">
        <v>6</v>
      </c>
      <c r="H35" s="10" t="n">
        <v>290</v>
      </c>
      <c r="I35" s="9" t="n">
        <v>19</v>
      </c>
      <c r="J35" s="9" t="inlineStr">
        <is>
          <t>Regular</t>
        </is>
      </c>
      <c r="K35" s="9" t="inlineStr">
        <is>
          <t>Si</t>
        </is>
      </c>
    </row>
    <row r="36">
      <c r="B36" s="9" t="n">
        <v>32</v>
      </c>
      <c r="C36" s="9" t="inlineStr">
        <is>
          <t>M</t>
        </is>
      </c>
      <c r="D36" s="9" t="n">
        <v>31</v>
      </c>
      <c r="E36" s="9" t="inlineStr">
        <is>
          <t>Nota de venta</t>
        </is>
      </c>
      <c r="F36" s="9" t="inlineStr">
        <is>
          <t>Yape</t>
        </is>
      </c>
      <c r="G36" s="9" t="n">
        <v>4</v>
      </c>
      <c r="H36" s="10" t="n">
        <v>135</v>
      </c>
      <c r="I36" s="9" t="n">
        <v>12</v>
      </c>
      <c r="J36" s="9" t="inlineStr">
        <is>
          <t>Satisfecho</t>
        </is>
      </c>
      <c r="K36" s="9" t="inlineStr">
        <is>
          <t>No</t>
        </is>
      </c>
    </row>
    <row r="37">
      <c r="B37" s="9" t="n">
        <v>33</v>
      </c>
      <c r="C37" s="9" t="inlineStr">
        <is>
          <t>F</t>
        </is>
      </c>
      <c r="D37" s="9" t="n">
        <v>24</v>
      </c>
      <c r="E37" s="9" t="inlineStr">
        <is>
          <t>Boleta</t>
        </is>
      </c>
      <c r="F37" s="9" t="inlineStr">
        <is>
          <t>Transferencia</t>
        </is>
      </c>
      <c r="G37" s="9" t="n">
        <v>3</v>
      </c>
      <c r="H37" s="10" t="n">
        <v>115</v>
      </c>
      <c r="I37" s="9" t="n">
        <v>9</v>
      </c>
      <c r="J37" s="9" t="inlineStr">
        <is>
          <t>Muy satisfecho</t>
        </is>
      </c>
      <c r="K37" s="9" t="inlineStr">
        <is>
          <t>No</t>
        </is>
      </c>
    </row>
    <row r="38">
      <c r="B38" s="9" t="n">
        <v>34</v>
      </c>
      <c r="C38" s="9" t="inlineStr">
        <is>
          <t>M</t>
        </is>
      </c>
      <c r="D38" s="9" t="n">
        <v>39</v>
      </c>
      <c r="E38" s="9" t="inlineStr">
        <is>
          <t>Factura</t>
        </is>
      </c>
      <c r="F38" s="9" t="inlineStr">
        <is>
          <t>Tarjeta</t>
        </is>
      </c>
      <c r="G38" s="9" t="n">
        <v>8</v>
      </c>
      <c r="H38" s="10" t="n">
        <v>410</v>
      </c>
      <c r="I38" s="9" t="n">
        <v>26</v>
      </c>
      <c r="J38" s="9" t="inlineStr">
        <is>
          <t>Satisfecho</t>
        </is>
      </c>
      <c r="K38" s="9" t="inlineStr">
        <is>
          <t>No</t>
        </is>
      </c>
    </row>
    <row r="39">
      <c r="B39" s="9" t="n">
        <v>35</v>
      </c>
      <c r="C39" s="9" t="inlineStr">
        <is>
          <t>F</t>
        </is>
      </c>
      <c r="D39" s="9" t="n">
        <v>27</v>
      </c>
      <c r="E39" s="9" t="inlineStr">
        <is>
          <t>Boleta</t>
        </is>
      </c>
      <c r="F39" s="9" t="inlineStr">
        <is>
          <t>Efectivo</t>
        </is>
      </c>
      <c r="G39" s="9" t="n">
        <v>2</v>
      </c>
      <c r="H39" s="10" t="n">
        <v>65</v>
      </c>
      <c r="I39" s="9" t="n">
        <v>8</v>
      </c>
      <c r="J39" s="9" t="inlineStr">
        <is>
          <t>Regular</t>
        </is>
      </c>
      <c r="K39" s="9" t="inlineStr">
        <is>
          <t>No</t>
        </is>
      </c>
    </row>
    <row r="40">
      <c r="B40" s="9" t="n">
        <v>36</v>
      </c>
      <c r="C40" s="9" t="inlineStr">
        <is>
          <t>M</t>
        </is>
      </c>
      <c r="D40" s="9" t="n">
        <v>45</v>
      </c>
      <c r="E40" s="9" t="inlineStr">
        <is>
          <t>Factura</t>
        </is>
      </c>
      <c r="F40" s="9" t="inlineStr">
        <is>
          <t>Yape</t>
        </is>
      </c>
      <c r="G40" s="9" t="n">
        <v>5</v>
      </c>
      <c r="H40" s="10" t="n">
        <v>230</v>
      </c>
      <c r="I40" s="9" t="n">
        <v>17</v>
      </c>
      <c r="J40" s="9" t="inlineStr">
        <is>
          <t>Satisfecho</t>
        </is>
      </c>
      <c r="K40" s="9" t="inlineStr">
        <is>
          <t>No</t>
        </is>
      </c>
    </row>
    <row r="41">
      <c r="B41" s="9" t="n">
        <v>37</v>
      </c>
      <c r="C41" s="9" t="inlineStr">
        <is>
          <t>F</t>
        </is>
      </c>
      <c r="D41" s="9" t="n">
        <v>33</v>
      </c>
      <c r="E41" s="9" t="inlineStr">
        <is>
          <t>Nota de venta</t>
        </is>
      </c>
      <c r="F41" s="9" t="inlineStr">
        <is>
          <t>Transferencia</t>
        </is>
      </c>
      <c r="G41" s="9" t="n">
        <v>4</v>
      </c>
      <c r="H41" s="10" t="n">
        <v>155</v>
      </c>
      <c r="I41" s="9" t="n">
        <v>13</v>
      </c>
      <c r="J41" s="9" t="inlineStr">
        <is>
          <t>Muy satisfecho</t>
        </is>
      </c>
      <c r="K41" s="9" t="inlineStr">
        <is>
          <t>No</t>
        </is>
      </c>
    </row>
    <row r="42">
      <c r="B42" s="9" t="n">
        <v>38</v>
      </c>
      <c r="C42" s="9" t="inlineStr">
        <is>
          <t>M</t>
        </is>
      </c>
      <c r="D42" s="9" t="n">
        <v>28</v>
      </c>
      <c r="E42" s="9" t="inlineStr">
        <is>
          <t>Boleta</t>
        </is>
      </c>
      <c r="F42" s="9" t="inlineStr">
        <is>
          <t>Tarjeta</t>
        </is>
      </c>
      <c r="G42" s="9" t="n">
        <v>3</v>
      </c>
      <c r="H42" s="10" t="n">
        <v>100</v>
      </c>
      <c r="I42" s="9" t="n">
        <v>10</v>
      </c>
      <c r="J42" s="9" t="inlineStr">
        <is>
          <t>Satisfecho</t>
        </is>
      </c>
      <c r="K42" s="9" t="inlineStr">
        <is>
          <t>No</t>
        </is>
      </c>
    </row>
    <row r="43">
      <c r="B43" s="9" t="n">
        <v>39</v>
      </c>
      <c r="C43" s="9" t="inlineStr">
        <is>
          <t>F</t>
        </is>
      </c>
      <c r="D43" s="9" t="n">
        <v>42</v>
      </c>
      <c r="E43" s="9" t="inlineStr">
        <is>
          <t>Factura</t>
        </is>
      </c>
      <c r="F43" s="9" t="inlineStr">
        <is>
          <t>Efectivo</t>
        </is>
      </c>
      <c r="G43" s="9" t="n">
        <v>7</v>
      </c>
      <c r="H43" s="10" t="n">
        <v>335</v>
      </c>
      <c r="I43" s="9" t="n">
        <v>22</v>
      </c>
      <c r="J43" s="9" t="inlineStr">
        <is>
          <t>Regular</t>
        </is>
      </c>
      <c r="K43" s="9" t="inlineStr">
        <is>
          <t>Si</t>
        </is>
      </c>
    </row>
    <row r="44">
      <c r="B44" s="9" t="n">
        <v>40</v>
      </c>
      <c r="C44" s="9" t="inlineStr">
        <is>
          <t>M</t>
        </is>
      </c>
      <c r="D44" s="9" t="n">
        <v>30</v>
      </c>
      <c r="E44" s="9" t="inlineStr">
        <is>
          <t>Boleta</t>
        </is>
      </c>
      <c r="F44" s="9" t="inlineStr">
        <is>
          <t>Yape</t>
        </is>
      </c>
      <c r="G44" s="9" t="n">
        <v>4</v>
      </c>
      <c r="H44" s="10" t="n">
        <v>142</v>
      </c>
      <c r="I44" s="9" t="n">
        <v>12</v>
      </c>
      <c r="J44" s="9" t="inlineStr">
        <is>
          <t>Muy satisfecho</t>
        </is>
      </c>
      <c r="K44" s="9" t="inlineStr">
        <is>
          <t>No</t>
        </is>
      </c>
    </row>
    <row r="46">
      <c r="B46" s="11" t="inlineStr">
        <is>
          <t>Nota: en el archivo original 6 montos (clientes 1, 4, 5, 8, 13 y 16) estaban guardados como TEXTO; aquí se convirtieron a número</t>
        </is>
      </c>
    </row>
    <row r="47">
      <c r="B47" s="11" t="inlineStr">
        <is>
          <t>para que Excel los incluya en PROMEDIO y MEDIANA. Con el error, Excel habría ignorado esos 6 datos (promedio falso de S/ 210.50 con n = 34).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9" customWidth="1" min="5" max="5"/>
    <col width="9" customWidth="1" min="6" max="6"/>
    <col width="9" customWidth="1" min="7" max="7"/>
    <col width="80" customWidth="1" min="8" max="8"/>
  </cols>
  <sheetData>
    <row r="2">
      <c r="B2" s="7" t="inlineStr">
        <is>
          <t>1. IDENTIFICACIÓN DE LAS MEDIDAS DE POSICIÓN PERTINENTES</t>
        </is>
      </c>
    </row>
    <row r="4">
      <c r="B4" s="8" t="inlineStr">
        <is>
          <t>Variable</t>
        </is>
      </c>
      <c r="C4" s="8" t="inlineStr">
        <is>
          <t>Tipo</t>
        </is>
      </c>
      <c r="D4" s="8" t="inlineStr">
        <is>
          <t>Escala</t>
        </is>
      </c>
      <c r="E4" s="8" t="inlineStr">
        <is>
          <t>Media</t>
        </is>
      </c>
      <c r="F4" s="8" t="inlineStr">
        <is>
          <t>Mediana</t>
        </is>
      </c>
      <c r="G4" s="8" t="inlineStr">
        <is>
          <t>Moda</t>
        </is>
      </c>
      <c r="H4" s="8" t="inlineStr">
        <is>
          <t>Justificación</t>
        </is>
      </c>
    </row>
    <row r="5">
      <c r="B5" s="12" t="inlineStr">
        <is>
          <t>Sexo</t>
        </is>
      </c>
      <c r="C5" s="12" t="inlineStr">
        <is>
          <t>Cualitativa</t>
        </is>
      </c>
      <c r="D5" s="12" t="inlineStr">
        <is>
          <t>Nominal</t>
        </is>
      </c>
      <c r="E5" s="13" t="inlineStr">
        <is>
          <t>No</t>
        </is>
      </c>
      <c r="F5" s="13" t="inlineStr">
        <is>
          <t>No</t>
        </is>
      </c>
      <c r="G5" s="14" t="inlineStr">
        <is>
          <t>Sí</t>
        </is>
      </c>
      <c r="H5" s="15" t="inlineStr">
        <is>
          <t>Categorías sin orden ni valor numérico: solo se puede contar cuál se repite más.</t>
        </is>
      </c>
    </row>
    <row r="6">
      <c r="B6" s="12" t="inlineStr">
        <is>
          <t>Edad</t>
        </is>
      </c>
      <c r="C6" s="12" t="inlineStr">
        <is>
          <t>Cuantitativa</t>
        </is>
      </c>
      <c r="D6" s="12" t="inlineStr">
        <is>
          <t>Razón</t>
        </is>
      </c>
      <c r="E6" s="14" t="inlineStr">
        <is>
          <t>Sí</t>
        </is>
      </c>
      <c r="F6" s="14" t="inlineStr">
        <is>
          <t>Sí</t>
        </is>
      </c>
      <c r="G6" s="14" t="inlineStr">
        <is>
          <t>Sí</t>
        </is>
      </c>
      <c r="H6" s="15" t="inlineStr">
        <is>
          <t>Valores numéricos con cero absoluto: se pueden sumar, ordenar y contar.</t>
        </is>
      </c>
    </row>
    <row r="7">
      <c r="B7" s="12" t="inlineStr">
        <is>
          <t>Comprobante</t>
        </is>
      </c>
      <c r="C7" s="12" t="inlineStr">
        <is>
          <t>Cualitativa</t>
        </is>
      </c>
      <c r="D7" s="12" t="inlineStr">
        <is>
          <t>Nominal</t>
        </is>
      </c>
      <c r="E7" s="13" t="inlineStr">
        <is>
          <t>No</t>
        </is>
      </c>
      <c r="F7" s="13" t="inlineStr">
        <is>
          <t>No</t>
        </is>
      </c>
      <c r="G7" s="14" t="inlineStr">
        <is>
          <t>Sí</t>
        </is>
      </c>
      <c r="H7" s="15" t="inlineStr">
        <is>
          <t>Boleta/Factura/Nota de venta no tienen orden ni se pueden promediar.</t>
        </is>
      </c>
    </row>
    <row r="8">
      <c r="B8" s="12" t="inlineStr">
        <is>
          <t>Pago</t>
        </is>
      </c>
      <c r="C8" s="12" t="inlineStr">
        <is>
          <t>Cualitativa</t>
        </is>
      </c>
      <c r="D8" s="12" t="inlineStr">
        <is>
          <t>Nominal</t>
        </is>
      </c>
      <c r="E8" s="13" t="inlineStr">
        <is>
          <t>No</t>
        </is>
      </c>
      <c r="F8" s="13" t="inlineStr">
        <is>
          <t>No</t>
        </is>
      </c>
      <c r="G8" s="14" t="inlineStr">
        <is>
          <t>Sí</t>
        </is>
      </c>
      <c r="H8" s="15" t="inlineStr">
        <is>
          <t>Yape/Efectivo/Tarjeta/Transferencia: solo frecuencia (moda).</t>
        </is>
      </c>
    </row>
    <row r="9">
      <c r="B9" s="12" t="inlineStr">
        <is>
          <t>Productos</t>
        </is>
      </c>
      <c r="C9" s="12" t="inlineStr">
        <is>
          <t>Cuantitativa discreta</t>
        </is>
      </c>
      <c r="D9" s="12" t="inlineStr">
        <is>
          <t>Razón</t>
        </is>
      </c>
      <c r="E9" s="14" t="inlineStr">
        <is>
          <t>Sí</t>
        </is>
      </c>
      <c r="F9" s="14" t="inlineStr">
        <is>
          <t>Sí</t>
        </is>
      </c>
      <c r="G9" s="14" t="inlineStr">
        <is>
          <t>Sí</t>
        </is>
      </c>
      <c r="H9" s="15" t="inlineStr">
        <is>
          <t>Conteo de unidades: admite las tres medidas; la moda es muy informativa por ser discreta.</t>
        </is>
      </c>
    </row>
    <row r="10">
      <c r="B10" s="12" t="inlineStr">
        <is>
          <t>Monto</t>
        </is>
      </c>
      <c r="C10" s="12" t="inlineStr">
        <is>
          <t>Cuantitativa continua</t>
        </is>
      </c>
      <c r="D10" s="12" t="inlineStr">
        <is>
          <t>Razón</t>
        </is>
      </c>
      <c r="E10" s="14" t="inlineStr">
        <is>
          <t>Sí</t>
        </is>
      </c>
      <c r="F10" s="14" t="inlineStr">
        <is>
          <t>Sí</t>
        </is>
      </c>
      <c r="G10" s="14" t="inlineStr">
        <is>
          <t>Sí*</t>
        </is>
      </c>
      <c r="H10" s="15" t="inlineStr">
        <is>
          <t>Admite las tres medidas. *Casi todos los montos son distintos: la moda es poco representativa.</t>
        </is>
      </c>
    </row>
    <row r="11">
      <c r="B11" s="12" t="inlineStr">
        <is>
          <t>Tiempo</t>
        </is>
      </c>
      <c r="C11" s="12" t="inlineStr">
        <is>
          <t>Cuantitativa</t>
        </is>
      </c>
      <c r="D11" s="12" t="inlineStr">
        <is>
          <t>Razón</t>
        </is>
      </c>
      <c r="E11" s="14" t="inlineStr">
        <is>
          <t>Sí</t>
        </is>
      </c>
      <c r="F11" s="14" t="inlineStr">
        <is>
          <t>Sí</t>
        </is>
      </c>
      <c r="G11" s="14" t="inlineStr">
        <is>
          <t>Sí</t>
        </is>
      </c>
      <c r="H11" s="15" t="inlineStr">
        <is>
          <t>Minutos de atención: admite las tres medidas.</t>
        </is>
      </c>
    </row>
    <row r="12">
      <c r="B12" s="12" t="inlineStr">
        <is>
          <t>Satisfacción</t>
        </is>
      </c>
      <c r="C12" s="12" t="inlineStr">
        <is>
          <t>Cualitativa</t>
        </is>
      </c>
      <c r="D12" s="12" t="inlineStr">
        <is>
          <t>Ordinal</t>
        </is>
      </c>
      <c r="E12" s="13" t="inlineStr">
        <is>
          <t>No</t>
        </is>
      </c>
      <c r="F12" s="14" t="inlineStr">
        <is>
          <t>Sí</t>
        </is>
      </c>
      <c r="G12" s="14" t="inlineStr">
        <is>
          <t>Sí</t>
        </is>
      </c>
      <c r="H12" s="15" t="inlineStr">
        <is>
          <t>Las categorías tienen orden (Regular &lt; Satisfecho &lt; Muy satisfecho): mediana y moda, pero no media.</t>
        </is>
      </c>
    </row>
    <row r="13">
      <c r="B13" s="12" t="inlineStr">
        <is>
          <t>Reclamo</t>
        </is>
      </c>
      <c r="C13" s="12" t="inlineStr">
        <is>
          <t>Cualitativa</t>
        </is>
      </c>
      <c r="D13" s="12" t="inlineStr">
        <is>
          <t>Nominal</t>
        </is>
      </c>
      <c r="E13" s="13" t="inlineStr">
        <is>
          <t>No</t>
        </is>
      </c>
      <c r="F13" s="13" t="inlineStr">
        <is>
          <t>No</t>
        </is>
      </c>
      <c r="G13" s="14" t="inlineStr">
        <is>
          <t>Sí</t>
        </is>
      </c>
      <c r="H13" s="15" t="inlineStr">
        <is>
          <t>Sí/No: solo la moda.</t>
        </is>
      </c>
    </row>
    <row r="15">
      <c r="B15" s="11" t="inlineStr">
        <is>
          <t>La variable Cliente es solo un código de identificación; no se le calcula ninguna medida.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B2:H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3" customWidth="1" min="7" max="7"/>
    <col width="120" customWidth="1" min="8" max="8"/>
  </cols>
  <sheetData>
    <row r="2">
      <c r="B2" s="7" t="inlineStr">
        <is>
          <t>2. CÁLCULO MANUAL (datos originales ordenados de menor a mayor)</t>
        </is>
      </c>
    </row>
    <row r="4">
      <c r="B4" s="8" t="inlineStr">
        <is>
          <t>Posición</t>
        </is>
      </c>
      <c r="C4" s="8" t="inlineStr">
        <is>
          <t>Edad</t>
        </is>
      </c>
      <c r="D4" s="8" t="inlineStr">
        <is>
          <t>Productos</t>
        </is>
      </c>
      <c r="E4" s="8" t="inlineStr">
        <is>
          <t>Monto (S/)</t>
        </is>
      </c>
      <c r="F4" s="8" t="inlineStr">
        <is>
          <t>Tiempo (min)</t>
        </is>
      </c>
      <c r="H4" s="16" t="inlineStr">
        <is>
          <t>1. EDAD (años)</t>
        </is>
      </c>
    </row>
    <row r="5">
      <c r="B5" s="17" t="n">
        <v>1</v>
      </c>
      <c r="C5" s="18" t="n">
        <v>21</v>
      </c>
      <c r="D5" s="18" t="n">
        <v>2</v>
      </c>
      <c r="E5" s="19" t="n">
        <v>55</v>
      </c>
      <c r="F5" s="18" t="n">
        <v>7</v>
      </c>
      <c r="H5" s="20" t="inlineStr">
        <is>
          <t>a) Media aritmética:  x̄ = Σxi / n</t>
        </is>
      </c>
    </row>
    <row r="6">
      <c r="B6" s="17" t="n">
        <v>2</v>
      </c>
      <c r="C6" s="18" t="n">
        <v>22</v>
      </c>
      <c r="D6" s="18" t="n">
        <v>2</v>
      </c>
      <c r="E6" s="19" t="n">
        <v>58</v>
      </c>
      <c r="F6" s="18" t="n">
        <v>7</v>
      </c>
      <c r="H6" s="21" t="inlineStr">
        <is>
          <t xml:space="preserve">   Σxi = 22+35+28+42+31+25+39+23+45+29+34+48+26+37+30+41+33+24+36+27+44+32+21+38+29+43+35+22+40+26+47+31+24+39+27+45+33+28+42+30 = 1331</t>
        </is>
      </c>
    </row>
    <row r="7">
      <c r="B7" s="17" t="n">
        <v>3</v>
      </c>
      <c r="C7" s="18" t="n">
        <v>22</v>
      </c>
      <c r="D7" s="18" t="n">
        <v>2</v>
      </c>
      <c r="E7" s="19" t="n">
        <v>60</v>
      </c>
      <c r="F7" s="18" t="n">
        <v>7</v>
      </c>
      <c r="H7" s="21" t="inlineStr">
        <is>
          <t xml:space="preserve">   x̄ = 1331 / 40 = 33.275 ≈ 33.28 años</t>
        </is>
      </c>
    </row>
    <row r="8">
      <c r="B8" s="17" t="n">
        <v>4</v>
      </c>
      <c r="C8" s="18" t="n">
        <v>23</v>
      </c>
      <c r="D8" s="18" t="n">
        <v>2</v>
      </c>
      <c r="E8" s="19" t="n">
        <v>65</v>
      </c>
      <c r="F8" s="18" t="n">
        <v>8</v>
      </c>
      <c r="H8" s="20" t="inlineStr">
        <is>
          <t>b) Mediana: n = 40 (par) → posiciones n/2 = 20 y n/2 + 1 = 21 de los datos ordenados</t>
        </is>
      </c>
    </row>
    <row r="9">
      <c r="B9" s="17" t="n">
        <v>5</v>
      </c>
      <c r="C9" s="18" t="n">
        <v>24</v>
      </c>
      <c r="D9" s="18" t="n">
        <v>2</v>
      </c>
      <c r="E9" s="19" t="n">
        <v>68.5</v>
      </c>
      <c r="F9" s="18" t="n">
        <v>8</v>
      </c>
      <c r="H9" s="21" t="inlineStr">
        <is>
          <t xml:space="preserve">   x(20) = 32   y   x(21) = 33   →   Me = (32 + 33) / 2 = 32.5 años</t>
        </is>
      </c>
    </row>
    <row r="10">
      <c r="B10" s="17" t="n">
        <v>6</v>
      </c>
      <c r="C10" s="18" t="n">
        <v>24</v>
      </c>
      <c r="D10" s="18" t="n">
        <v>2</v>
      </c>
      <c r="E10" s="19" t="n">
        <v>72</v>
      </c>
      <c r="F10" s="18" t="n">
        <v>8</v>
      </c>
      <c r="H10" s="20" t="inlineStr">
        <is>
          <t>c) Moda: se cuenta cuántas veces se repite cada edad.</t>
        </is>
      </c>
    </row>
    <row r="11">
      <c r="B11" s="17" t="n">
        <v>7</v>
      </c>
      <c r="C11" s="18" t="n">
        <v>25</v>
      </c>
      <c r="D11" s="18" t="n">
        <v>2</v>
      </c>
      <c r="E11" s="19" t="n">
        <v>75.5</v>
      </c>
      <c r="F11" s="18" t="n">
        <v>8</v>
      </c>
      <c r="H11" s="21" t="inlineStr">
        <is>
          <t xml:space="preserve">   Edades que se repiten 2 veces (frecuencia máxima): 22, 24, 26, 27, 28, 29, 30, 31, 33, 35, 39, 42 y 45 (13 valores).</t>
        </is>
      </c>
    </row>
    <row r="12">
      <c r="B12" s="17" t="n">
        <v>8</v>
      </c>
      <c r="C12" s="18" t="n">
        <v>26</v>
      </c>
      <c r="D12" s="18" t="n">
        <v>3</v>
      </c>
      <c r="E12" s="19" t="n">
        <v>85.5</v>
      </c>
      <c r="F12" s="18" t="n">
        <v>9</v>
      </c>
      <c r="H12" s="21" t="inlineStr">
        <is>
          <t xml:space="preserve">   Las demás (21, 23, 25, 32, 34, 36, 37, 38, 40, 41, 43, 44, 47, 48) aparecen 1 vez.</t>
        </is>
      </c>
    </row>
    <row r="13">
      <c r="B13" s="17" t="n">
        <v>9</v>
      </c>
      <c r="C13" s="18" t="n">
        <v>26</v>
      </c>
      <c r="D13" s="18" t="n">
        <v>3</v>
      </c>
      <c r="E13" s="19" t="n">
        <v>92</v>
      </c>
      <c r="F13" s="18" t="n">
        <v>9</v>
      </c>
      <c r="H13" s="21" t="inlineStr">
        <is>
          <t xml:space="preserve">   → Distribución MULTIMODAL: ninguna edad destaca, por lo que en la práctica la edad no tiene una moda representativa.</t>
        </is>
      </c>
    </row>
    <row r="14">
      <c r="B14" s="17" t="n">
        <v>10</v>
      </c>
      <c r="C14" s="18" t="n">
        <v>27</v>
      </c>
      <c r="D14" s="18" t="n">
        <v>3</v>
      </c>
      <c r="E14" s="19" t="n">
        <v>98</v>
      </c>
      <c r="F14" s="18" t="n">
        <v>10</v>
      </c>
      <c r="H14" s="20" t="inlineStr">
        <is>
          <t>d) Interpretación: el cliente típico es un adulto joven de unos 33 años. La mitad de los clientes tiene 32 años o menos y la otra mitad 33 o más.</t>
        </is>
      </c>
    </row>
    <row r="15">
      <c r="B15" s="17" t="n">
        <v>11</v>
      </c>
      <c r="C15" s="18" t="n">
        <v>27</v>
      </c>
      <c r="D15" s="18" t="n">
        <v>3</v>
      </c>
      <c r="E15" s="19" t="n">
        <v>100</v>
      </c>
      <c r="F15" s="18" t="n">
        <v>10</v>
      </c>
      <c r="H15" s="21" t="inlineStr">
        <is>
          <t xml:space="preserve">   Media (33.28) y mediana (32.5) son casi iguales → las edades están distribuidas de forma bastante simétrica (entre 21 y 48 años).</t>
        </is>
      </c>
    </row>
    <row r="16">
      <c r="B16" s="17" t="n">
        <v>12</v>
      </c>
      <c r="C16" s="18" t="n">
        <v>28</v>
      </c>
      <c r="D16" s="18" t="n">
        <v>3</v>
      </c>
      <c r="E16" s="19" t="n">
        <v>105</v>
      </c>
      <c r="F16" s="18" t="n">
        <v>10</v>
      </c>
      <c r="H16" s="22" t="inlineStr">
        <is>
          <t>Media Edad = 33.275</t>
        </is>
      </c>
    </row>
    <row r="17">
      <c r="B17" s="17" t="n">
        <v>13</v>
      </c>
      <c r="C17" s="18" t="n">
        <v>28</v>
      </c>
      <c r="D17" s="18" t="n">
        <v>3</v>
      </c>
      <c r="E17" s="19" t="n">
        <v>110</v>
      </c>
      <c r="F17" s="18" t="n">
        <v>10</v>
      </c>
      <c r="H17" s="22" t="inlineStr">
        <is>
          <t>Mediana Edad = 32.5</t>
        </is>
      </c>
    </row>
    <row r="18">
      <c r="B18" s="17" t="n">
        <v>14</v>
      </c>
      <c r="C18" s="18" t="n">
        <v>29</v>
      </c>
      <c r="D18" s="18" t="n">
        <v>3</v>
      </c>
      <c r="E18" s="19" t="n">
        <v>115</v>
      </c>
      <c r="F18" s="18" t="n">
        <v>11</v>
      </c>
    </row>
    <row r="19">
      <c r="B19" s="17" t="n">
        <v>15</v>
      </c>
      <c r="C19" s="18" t="n">
        <v>29</v>
      </c>
      <c r="D19" s="18" t="n">
        <v>3</v>
      </c>
      <c r="E19" s="19" t="n">
        <v>120.5</v>
      </c>
      <c r="F19" s="18" t="n">
        <v>11</v>
      </c>
      <c r="H19" s="16" t="inlineStr">
        <is>
          <t>2. NÚMERO DE PRODUCTOS</t>
        </is>
      </c>
    </row>
    <row r="20">
      <c r="B20" s="17" t="n">
        <v>16</v>
      </c>
      <c r="C20" s="18" t="n">
        <v>30</v>
      </c>
      <c r="D20" s="18" t="n">
        <v>4</v>
      </c>
      <c r="E20" s="19" t="n">
        <v>125</v>
      </c>
      <c r="F20" s="18" t="n">
        <v>12</v>
      </c>
      <c r="H20" s="20" t="inlineStr">
        <is>
          <t>a) Media aritmética (con tabla de frecuencias):  x̄ = Σ(xi·fi) / n</t>
        </is>
      </c>
    </row>
    <row r="21">
      <c r="B21" s="17" t="n">
        <v>17</v>
      </c>
      <c r="C21" s="18" t="n">
        <v>30</v>
      </c>
      <c r="D21" s="18" t="n">
        <v>4</v>
      </c>
      <c r="E21" s="19" t="n">
        <v>135</v>
      </c>
      <c r="F21" s="18" t="n">
        <v>12</v>
      </c>
      <c r="H21" s="21" t="inlineStr">
        <is>
          <t xml:space="preserve">   xi :  2   3   4   5   6   7   8   9</t>
        </is>
      </c>
    </row>
    <row r="22">
      <c r="B22" s="17" t="n">
        <v>18</v>
      </c>
      <c r="C22" s="18" t="n">
        <v>31</v>
      </c>
      <c r="D22" s="18" t="n">
        <v>4</v>
      </c>
      <c r="E22" s="19" t="n">
        <v>135</v>
      </c>
      <c r="F22" s="18" t="n">
        <v>12</v>
      </c>
      <c r="H22" s="21" t="inlineStr">
        <is>
          <t xml:space="preserve">   fi :  7   8   7   5   4   4   3   2</t>
        </is>
      </c>
    </row>
    <row r="23">
      <c r="B23" s="17" t="n">
        <v>19</v>
      </c>
      <c r="C23" s="18" t="n">
        <v>31</v>
      </c>
      <c r="D23" s="18" t="n">
        <v>4</v>
      </c>
      <c r="E23" s="19" t="n">
        <v>142</v>
      </c>
      <c r="F23" s="18" t="n">
        <v>12</v>
      </c>
      <c r="H23" s="21" t="inlineStr">
        <is>
          <t xml:space="preserve">   Σxi·fi = 2·7 + 3·8 + 4·7 + 5·5 + 6·4 + 7·4 + 8·3 + 9·2 = 14 + 24 + 28 + 25 + 24 + 28 + 24 + 18 = 185</t>
        </is>
      </c>
    </row>
    <row r="24">
      <c r="B24" s="23" t="n">
        <v>20</v>
      </c>
      <c r="C24" s="24" t="n">
        <v>32</v>
      </c>
      <c r="D24" s="24" t="n">
        <v>4</v>
      </c>
      <c r="E24" s="25" t="n">
        <v>145.5</v>
      </c>
      <c r="F24" s="24" t="n">
        <v>13</v>
      </c>
      <c r="H24" s="21" t="inlineStr">
        <is>
          <t xml:space="preserve">   x̄ = 185 / 40 = 4.625 productos</t>
        </is>
      </c>
    </row>
    <row r="25">
      <c r="B25" s="23" t="n">
        <v>21</v>
      </c>
      <c r="C25" s="24" t="n">
        <v>33</v>
      </c>
      <c r="D25" s="24" t="n">
        <v>4</v>
      </c>
      <c r="E25" s="25" t="n">
        <v>150</v>
      </c>
      <c r="F25" s="24" t="n">
        <v>13</v>
      </c>
      <c r="H25" s="20" t="inlineStr">
        <is>
          <t>b) Mediana: posiciones 20 y 21. Frecuencias acumuladas Fi: 2→7, 3→15, 4→22 … ; las posiciones 20 y 21 caen en xi = 4</t>
        </is>
      </c>
    </row>
    <row r="26">
      <c r="B26" s="17" t="n">
        <v>22</v>
      </c>
      <c r="C26" s="18" t="n">
        <v>33</v>
      </c>
      <c r="D26" s="18" t="n">
        <v>4</v>
      </c>
      <c r="E26" s="19" t="n">
        <v>155</v>
      </c>
      <c r="F26" s="18" t="n">
        <v>14</v>
      </c>
      <c r="H26" s="21" t="inlineStr">
        <is>
          <t xml:space="preserve">   Me = (4 + 4) / 2 = 4 productos</t>
        </is>
      </c>
    </row>
    <row r="27">
      <c r="B27" s="17" t="n">
        <v>23</v>
      </c>
      <c r="C27" s="18" t="n">
        <v>34</v>
      </c>
      <c r="D27" s="18" t="n">
        <v>5</v>
      </c>
      <c r="E27" s="19" t="n">
        <v>180</v>
      </c>
      <c r="F27" s="18" t="n">
        <v>14</v>
      </c>
      <c r="H27" s="20" t="inlineStr">
        <is>
          <t>c) Moda: el valor con mayor frecuencia es 3 (fi = 8)  →  Mo = 3 productos</t>
        </is>
      </c>
    </row>
    <row r="28">
      <c r="B28" s="17" t="n">
        <v>24</v>
      </c>
      <c r="C28" s="18" t="n">
        <v>35</v>
      </c>
      <c r="D28" s="18" t="n">
        <v>5</v>
      </c>
      <c r="E28" s="19" t="n">
        <v>195</v>
      </c>
      <c r="F28" s="18" t="n">
        <v>15</v>
      </c>
      <c r="H28" s="20" t="inlineStr">
        <is>
          <t>d) ¿Qué medida describe mejor?: la MODA y la MEDIANA. Al ser una variable discreta, "4.625 productos" no puede ocurrir en la realidad;</t>
        </is>
      </c>
    </row>
    <row r="29">
      <c r="B29" s="17" t="n">
        <v>25</v>
      </c>
      <c r="C29" s="18" t="n">
        <v>35</v>
      </c>
      <c r="D29" s="18" t="n">
        <v>5</v>
      </c>
      <c r="E29" s="19" t="n">
        <v>215</v>
      </c>
      <c r="F29" s="18" t="n">
        <v>15</v>
      </c>
      <c r="H29" s="21" t="inlineStr">
        <is>
          <t xml:space="preserve">   la mediana (4) indica que la mitad de los clientes compró 4 productos o menos y la moda (3) es la cantidad comprada con más frecuencia.</t>
        </is>
      </c>
    </row>
    <row r="30">
      <c r="B30" s="17" t="n">
        <v>26</v>
      </c>
      <c r="C30" s="18" t="n">
        <v>36</v>
      </c>
      <c r="D30" s="18" t="n">
        <v>5</v>
      </c>
      <c r="E30" s="19" t="n">
        <v>230</v>
      </c>
      <c r="F30" s="18" t="n">
        <v>16</v>
      </c>
      <c r="H30" s="21" t="inlineStr">
        <is>
          <t xml:space="preserve">   La media está "jalada" hacia arriba por los pocos clientes que llevaron 8 o 9 productos.</t>
        </is>
      </c>
    </row>
    <row r="31">
      <c r="B31" s="17" t="n">
        <v>27</v>
      </c>
      <c r="C31" s="18" t="n">
        <v>37</v>
      </c>
      <c r="D31" s="18" t="n">
        <v>5</v>
      </c>
      <c r="E31" s="19" t="n">
        <v>240</v>
      </c>
      <c r="F31" s="18" t="n">
        <v>17</v>
      </c>
      <c r="H31" s="22" t="inlineStr">
        <is>
          <t>Media Productos = 4.625</t>
        </is>
      </c>
    </row>
    <row r="32">
      <c r="B32" s="17" t="n">
        <v>28</v>
      </c>
      <c r="C32" s="18" t="n">
        <v>38</v>
      </c>
      <c r="D32" s="18" t="n">
        <v>6</v>
      </c>
      <c r="E32" s="19" t="n">
        <v>260</v>
      </c>
      <c r="F32" s="18" t="n">
        <v>18</v>
      </c>
      <c r="H32" s="22" t="inlineStr">
        <is>
          <t>Mediana Productos = 4</t>
        </is>
      </c>
    </row>
    <row r="33">
      <c r="B33" s="17" t="n">
        <v>29</v>
      </c>
      <c r="C33" s="18" t="n">
        <v>39</v>
      </c>
      <c r="D33" s="18" t="n">
        <v>6</v>
      </c>
      <c r="E33" s="19" t="n">
        <v>275</v>
      </c>
      <c r="F33" s="18" t="n">
        <v>19</v>
      </c>
      <c r="H33" s="22" t="inlineStr">
        <is>
          <t>Moda Productos = 3</t>
        </is>
      </c>
    </row>
    <row r="34">
      <c r="B34" s="17" t="n">
        <v>30</v>
      </c>
      <c r="C34" s="18" t="n">
        <v>39</v>
      </c>
      <c r="D34" s="18" t="n">
        <v>6</v>
      </c>
      <c r="E34" s="19" t="n">
        <v>280</v>
      </c>
      <c r="F34" s="18" t="n">
        <v>19</v>
      </c>
    </row>
    <row r="35">
      <c r="B35" s="17" t="n">
        <v>31</v>
      </c>
      <c r="C35" s="18" t="n">
        <v>40</v>
      </c>
      <c r="D35" s="18" t="n">
        <v>6</v>
      </c>
      <c r="E35" s="19" t="n">
        <v>290</v>
      </c>
      <c r="F35" s="18" t="n">
        <v>20</v>
      </c>
      <c r="H35" s="16" t="inlineStr">
        <is>
          <t>3. MONTO DE COMPRA (S/)</t>
        </is>
      </c>
    </row>
    <row r="36">
      <c r="B36" s="17" t="n">
        <v>32</v>
      </c>
      <c r="C36" s="18" t="n">
        <v>41</v>
      </c>
      <c r="D36" s="18" t="n">
        <v>7</v>
      </c>
      <c r="E36" s="19" t="n">
        <v>315.8</v>
      </c>
      <c r="F36" s="18" t="n">
        <v>21</v>
      </c>
      <c r="H36" s="20" t="inlineStr">
        <is>
          <t>a) Monto promedio:  x̄ = Σxi / n</t>
        </is>
      </c>
    </row>
    <row r="37">
      <c r="B37" s="17" t="n">
        <v>33</v>
      </c>
      <c r="C37" s="18" t="n">
        <v>42</v>
      </c>
      <c r="D37" s="18" t="n">
        <v>7</v>
      </c>
      <c r="E37" s="19" t="n">
        <v>325</v>
      </c>
      <c r="F37" s="18" t="n">
        <v>22</v>
      </c>
      <c r="H37" s="21" t="inlineStr">
        <is>
          <t xml:space="preserve">   Σxi = 85.5+240+55+315.8+120.5+98+420+75.5+280+135+92+510+68.5+215+110+145.5+350+60+275+125+390+180+72+260+150+325+105+58+480+195</t>
        </is>
      </c>
    </row>
    <row r="38">
      <c r="B38" s="17" t="n">
        <v>34</v>
      </c>
      <c r="C38" s="18" t="n">
        <v>42</v>
      </c>
      <c r="D38" s="18" t="n">
        <v>7</v>
      </c>
      <c r="E38" s="19" t="n">
        <v>335</v>
      </c>
      <c r="F38" s="18" t="n">
        <v>22</v>
      </c>
      <c r="H38" s="21" t="inlineStr">
        <is>
          <t xml:space="preserve">         +290+135+115+410+65+230+155+100+335+142 = 7968.30</t>
        </is>
      </c>
    </row>
    <row r="39">
      <c r="B39" s="17" t="n">
        <v>35</v>
      </c>
      <c r="C39" s="18" t="n">
        <v>43</v>
      </c>
      <c r="D39" s="18" t="n">
        <v>7</v>
      </c>
      <c r="E39" s="19" t="n">
        <v>350</v>
      </c>
      <c r="F39" s="18" t="n">
        <v>23</v>
      </c>
      <c r="H39" s="21" t="inlineStr">
        <is>
          <t xml:space="preserve">   x̄ = 7968.30 / 40 = S/ 199.2075 ≈ S/ 199.21</t>
        </is>
      </c>
    </row>
    <row r="40">
      <c r="B40" s="17" t="n">
        <v>36</v>
      </c>
      <c r="C40" s="18" t="n">
        <v>44</v>
      </c>
      <c r="D40" s="18" t="n">
        <v>8</v>
      </c>
      <c r="E40" s="19" t="n">
        <v>390</v>
      </c>
      <c r="F40" s="18" t="n">
        <v>25</v>
      </c>
      <c r="H40" s="20" t="inlineStr">
        <is>
          <t>b) Monto mediano: posiciones 20 y 21 → x(20) = 145.5  y  x(21) = 150  →  Me = (145.5 + 150) / 2 = S/ 147.75</t>
        </is>
      </c>
    </row>
    <row r="41">
      <c r="B41" s="17" t="n">
        <v>37</v>
      </c>
      <c r="C41" s="18" t="n">
        <v>45</v>
      </c>
      <c r="D41" s="18" t="n">
        <v>8</v>
      </c>
      <c r="E41" s="19" t="n">
        <v>410</v>
      </c>
      <c r="F41" s="18" t="n">
        <v>26</v>
      </c>
      <c r="H41" s="20" t="inlineStr">
        <is>
          <t>c) Moda: el único monto que se repite es S/ 135 (clientes 10 y 32, fi = 2); los otros 38 montos aparecen una sola vez.</t>
        </is>
      </c>
    </row>
    <row r="42">
      <c r="B42" s="17" t="n">
        <v>38</v>
      </c>
      <c r="C42" s="18" t="n">
        <v>45</v>
      </c>
      <c r="D42" s="18" t="n">
        <v>8</v>
      </c>
      <c r="E42" s="19" t="n">
        <v>420</v>
      </c>
      <c r="F42" s="18" t="n">
        <v>27</v>
      </c>
      <c r="H42" s="21" t="inlineStr">
        <is>
          <t xml:space="preserve">   → Mo = S/ 135, pero es poco representativa: en una variable continua casi todos los valores son distintos.</t>
        </is>
      </c>
    </row>
    <row r="43">
      <c r="B43" s="17" t="n">
        <v>39</v>
      </c>
      <c r="C43" s="18" t="n">
        <v>47</v>
      </c>
      <c r="D43" s="18" t="n">
        <v>9</v>
      </c>
      <c r="E43" s="19" t="n">
        <v>480</v>
      </c>
      <c r="F43" s="18" t="n">
        <v>29</v>
      </c>
      <c r="H43" s="20" t="inlineStr">
        <is>
          <t>d) Comparación: media (199.21) &gt; mediana (147.75) por S/ 51.46. Unos pocos clientes con compras grandes (S/ 390 a S/ 510)</t>
        </is>
      </c>
    </row>
    <row r="44">
      <c r="B44" s="17" t="n">
        <v>40</v>
      </c>
      <c r="C44" s="18" t="n">
        <v>48</v>
      </c>
      <c r="D44" s="18" t="n">
        <v>9</v>
      </c>
      <c r="E44" s="19" t="n">
        <v>510</v>
      </c>
      <c r="F44" s="18" t="n">
        <v>30</v>
      </c>
      <c r="H44" s="21" t="inlineStr">
        <is>
          <t xml:space="preserve">   elevan el promedio → distribución con asimetría positiva (cola a la derecha). La mediana representa mejor la compra típica.</t>
        </is>
      </c>
    </row>
    <row r="45">
      <c r="B45" s="26" t="inlineStr">
        <is>
          <t>Σx</t>
        </is>
      </c>
      <c r="C45" s="27" t="n">
        <v>1331</v>
      </c>
      <c r="D45" s="27" t="n">
        <v>185</v>
      </c>
      <c r="E45" s="28" t="n">
        <v>7968.3</v>
      </c>
      <c r="F45" s="27" t="n">
        <v>599</v>
      </c>
      <c r="H45" s="22" t="inlineStr">
        <is>
          <t>Media Monto = 199.2075</t>
        </is>
      </c>
    </row>
    <row r="46">
      <c r="B46" s="11" t="inlineStr">
        <is>
          <t>Filas amarillas = posiciones 20 y 21 (centrales, porque n = 40 es par).</t>
        </is>
      </c>
      <c r="H46" s="22" t="inlineStr">
        <is>
          <t>Mediana Monto = 147.75</t>
        </is>
      </c>
    </row>
    <row r="47">
      <c r="H47" s="22" t="inlineStr">
        <is>
          <t>Moda Monto = 135</t>
        </is>
      </c>
    </row>
    <row r="49">
      <c r="H49" s="16" t="inlineStr">
        <is>
          <t>4. TIEMPO DE ATENCIÓN (minutos)</t>
        </is>
      </c>
    </row>
    <row r="50">
      <c r="H50" s="20" t="inlineStr">
        <is>
          <t>a) Tiempo promedio:  x̄ = Σxi / n</t>
        </is>
      </c>
    </row>
    <row r="51">
      <c r="H51" s="21" t="inlineStr">
        <is>
          <t xml:space="preserve">   Σxi = 8+15+7+21+12+10+25+9+18+11+10+30+8+16+12+14+22+7+19+11+27+15+8+20+13+23+10+7+29+14+19+12+9+26+8+17+13+10+22+12 = 599</t>
        </is>
      </c>
    </row>
    <row r="52">
      <c r="H52" s="21" t="inlineStr">
        <is>
          <t xml:space="preserve">   x̄ = 599 / 40 = 14.975 ≈ 14.98 minutos</t>
        </is>
      </c>
    </row>
    <row r="53">
      <c r="H53" s="20" t="inlineStr">
        <is>
          <t>b) Mediana: posiciones 20 y 21 → x(20) = 13  y  x(21) = 13  →  Me = (13 + 13) / 2 = 13 minutos</t>
        </is>
      </c>
    </row>
    <row r="54">
      <c r="H54" s="20" t="inlineStr">
        <is>
          <t>c) Moda: frecuencias → 7:3,  8:4,  9:2,  10:4,  11:2,  12:4,  13:2,  14:2,  15:2,  16:1,  17:1,  18:1,  19:2,  20:1,  21:1,  22:2,  23:1,  25:1,  26:1,  27:1,  29:1,  30:1</t>
        </is>
      </c>
    </row>
    <row r="55">
      <c r="H55" s="21" t="inlineStr">
        <is>
          <t xml:space="preserve">   Frecuencia máxima = 4, la tienen 8, 10 y 12 minutos  →  distribución TRIMODAL: Mo = 8, 10 y 12 minutos</t>
        </is>
      </c>
    </row>
    <row r="56">
      <c r="H56" s="20" t="inlineStr">
        <is>
          <t>d) Interpretación: en promedio cada cliente fue atendido en casi 15 minutos; la mitad fue atendida en 13 minutos o menos;</t>
        </is>
      </c>
    </row>
    <row r="57">
      <c r="H57" s="21" t="inlineStr">
        <is>
          <t xml:space="preserve">   y los tiempos más frecuentes fueron 8, 10 y 12 minutos. Algunas atenciones largas (25 a 30 min) suben el promedio.</t>
        </is>
      </c>
    </row>
    <row r="58">
      <c r="H58" s="22" t="inlineStr">
        <is>
          <t>Media Tiempo = 14.975</t>
        </is>
      </c>
    </row>
    <row r="59">
      <c r="H59" s="22" t="inlineStr">
        <is>
          <t>Mediana Tiempo = 13</t>
        </is>
      </c>
    </row>
    <row r="60">
      <c r="H60" s="22" t="inlineStr">
        <is>
          <t>Moda Tiempo = 8, 10 y 12</t>
        </is>
      </c>
    </row>
    <row r="62">
      <c r="H62" s="16" t="inlineStr">
        <is>
          <t>5. SATISFACCIÓN (cualitativa ordinal)</t>
        </is>
      </c>
    </row>
    <row r="63">
      <c r="H63" s="21" t="inlineStr">
        <is>
          <t>Frecuencias ordenadas:  Regular fi = 11 (Fi = 11)  |  Satisfecho fi = 18 (Fi = 29)  |  Muy satisfecho fi = 11 (Fi = 40)</t>
        </is>
      </c>
    </row>
    <row r="64">
      <c r="H64" s="20" t="inlineStr">
        <is>
          <t>a) Moda: la categoría con mayor frecuencia es "Satisfecho" (18 clientes = 45%)  →  Mo = Satisfecho</t>
        </is>
      </c>
    </row>
    <row r="65">
      <c r="H65" s="20" t="inlineStr">
        <is>
          <t>b) Mediana: posiciones 20 y 21. Regular ocupa las posiciones 1–11 y Satisfecho las 12–29 → ambas posiciones caen en "Satisfecho"</t>
        </is>
      </c>
    </row>
    <row r="66">
      <c r="H66" s="21" t="inlineStr">
        <is>
          <t xml:space="preserve">   →  Me = Satisfecho: al menos la mitad de los clientes está satisfecho o muy satisfecho.</t>
        </is>
      </c>
    </row>
    <row r="67">
      <c r="H67" s="20" t="inlineStr">
        <is>
          <t>c) ¿Es apropiado calcular la media? NO. La escala es ordinal: las categorías tienen orden pero no son números ni hay distancias iguales</t>
        </is>
      </c>
    </row>
    <row r="68">
      <c r="H68" s="21" t="inlineStr">
        <is>
          <t xml:space="preserve">   entre ellas; si se codificaran 1-2-3, el promedio (p. ej. "2.0") sería un número sin significado real. Solo corresponden moda y mediana.</t>
        </is>
      </c>
    </row>
    <row r="69">
      <c r="H69" s="22" t="inlineStr">
        <is>
          <t>Moda y Mediana Satisfacción = Satisfecho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70" customWidth="1" min="8" max="8"/>
  </cols>
  <sheetData>
    <row r="2">
      <c r="B2" s="7" t="inlineStr">
        <is>
          <t>3. MEDIDAS DE POSICIÓN OBTENIDAS CON EXCEL (fórmulas sobre la hoja Datos)</t>
        </is>
      </c>
    </row>
    <row r="4">
      <c r="B4" s="8" t="inlineStr">
        <is>
          <t>Variable</t>
        </is>
      </c>
      <c r="C4" s="8" t="inlineStr">
        <is>
          <t>Media</t>
        </is>
      </c>
      <c r="D4" s="8" t="inlineStr">
        <is>
          <t>Mediana</t>
        </is>
      </c>
      <c r="E4" s="8" t="inlineStr">
        <is>
          <t>Moda (MODA.UNO)</t>
        </is>
      </c>
      <c r="F4" s="8" t="inlineStr">
        <is>
          <t>Frecuencia de la moda</t>
        </is>
      </c>
      <c r="G4" s="8" t="inlineStr">
        <is>
          <t>N.º de valores modales</t>
        </is>
      </c>
      <c r="H4" s="8" t="inlineStr">
        <is>
          <t>Fórmulas usadas (Excel en español)</t>
        </is>
      </c>
    </row>
    <row r="5">
      <c r="B5" s="29" t="inlineStr">
        <is>
          <t>Edad (años)</t>
        </is>
      </c>
      <c r="C5" s="30">
        <f>AVERAGE(Datos!$D$5:$D$44)</f>
        <v/>
      </c>
      <c r="D5" s="19">
        <f>MEDIAN(Datos!$D$5:$D$44)</f>
        <v/>
      </c>
      <c r="E5" s="31">
        <f>_xlfn.MODE.SNGL(Datos!$D$5:$D$44)</f>
        <v/>
      </c>
      <c r="F5" s="17">
        <f>COUNTIF(Datos!$D$5:$D$44,E5)</f>
        <v/>
      </c>
      <c r="G5" s="17">
        <f>SUMPRODUCT((COUNTIF(Datos!$D$5:$D$44,Datos!$D$5:$D$44)=F5)/COUNTIF(Datos!$D$5:$D$44,Datos!$D$5:$D$44))</f>
        <v/>
      </c>
      <c r="H5" s="15" t="inlineStr">
        <is>
          <t>PROMEDIO(D5:D44)  |  MEDIANA(D5:D44)  |  MODA.UNO(D5:D44)  |  CONTAR.SI(D5:D44;moda)</t>
        </is>
      </c>
    </row>
    <row r="6">
      <c r="B6" s="29" t="inlineStr">
        <is>
          <t>Número de productos</t>
        </is>
      </c>
      <c r="C6" s="30">
        <f>AVERAGE(Datos!$G$5:$G$44)</f>
        <v/>
      </c>
      <c r="D6" s="19">
        <f>MEDIAN(Datos!$G$5:$G$44)</f>
        <v/>
      </c>
      <c r="E6" s="31">
        <f>_xlfn.MODE.SNGL(Datos!$G$5:$G$44)</f>
        <v/>
      </c>
      <c r="F6" s="17">
        <f>COUNTIF(Datos!$G$5:$G$44,E6)</f>
        <v/>
      </c>
      <c r="G6" s="17">
        <f>SUMPRODUCT((COUNTIF(Datos!$G$5:$G$44,Datos!$G$5:$G$44)=F6)/COUNTIF(Datos!$G$5:$G$44,Datos!$G$5:$G$44))</f>
        <v/>
      </c>
      <c r="H6" s="15" t="inlineStr">
        <is>
          <t>PROMEDIO(G5:G44)  |  MEDIANA(G5:G44)  |  MODA.UNO(G5:G44)  |  CONTAR.SI(G5:G44;moda)</t>
        </is>
      </c>
    </row>
    <row r="7">
      <c r="B7" s="29" t="inlineStr">
        <is>
          <t>Monto de compra (S/)</t>
        </is>
      </c>
      <c r="C7" s="32">
        <f>AVERAGE(Datos!$H$5:$H$44)</f>
        <v/>
      </c>
      <c r="D7" s="19">
        <f>MEDIAN(Datos!$H$5:$H$44)</f>
        <v/>
      </c>
      <c r="E7" s="31">
        <f>_xlfn.MODE.SNGL(Datos!$H$5:$H$44)</f>
        <v/>
      </c>
      <c r="F7" s="17">
        <f>COUNTIF(Datos!$H$5:$H$44,E7)</f>
        <v/>
      </c>
      <c r="G7" s="17">
        <f>SUMPRODUCT((COUNTIF(Datos!$H$5:$H$44,Datos!$H$5:$H$44)=F7)/COUNTIF(Datos!$H$5:$H$44,Datos!$H$5:$H$44))</f>
        <v/>
      </c>
      <c r="H7" s="15" t="inlineStr">
        <is>
          <t>PROMEDIO(H5:H44)  |  MEDIANA(H5:H44)  |  MODA.UNO(H5:H44)  |  CONTAR.SI(H5:H44;moda)</t>
        </is>
      </c>
    </row>
    <row r="8">
      <c r="B8" s="29" t="inlineStr">
        <is>
          <t>Tiempo de atención (min)</t>
        </is>
      </c>
      <c r="C8" s="30">
        <f>AVERAGE(Datos!$I$5:$I$44)</f>
        <v/>
      </c>
      <c r="D8" s="19">
        <f>MEDIAN(Datos!$I$5:$I$44)</f>
        <v/>
      </c>
      <c r="E8" s="31">
        <f>_xlfn.MODE.SNGL(Datos!$I$5:$I$44)</f>
        <v/>
      </c>
      <c r="F8" s="17">
        <f>COUNTIF(Datos!$I$5:$I$44,E8)</f>
        <v/>
      </c>
      <c r="G8" s="17">
        <f>SUMPRODUCT((COUNTIF(Datos!$I$5:$I$44,Datos!$I$5:$I$44)=F8)/COUNTIF(Datos!$I$5:$I$44,Datos!$I$5:$I$44))</f>
        <v/>
      </c>
      <c r="H8" s="15" t="inlineStr">
        <is>
          <t>PROMEDIO(I5:I44)  |  MEDIANA(I5:I44)  |  MODA.UNO(I5:I44)  |  CONTAR.SI(I5:I44;moda)</t>
        </is>
      </c>
    </row>
    <row r="10">
      <c r="B10" s="11" t="inlineStr">
        <is>
          <t>Lectura: si "N.º de valores modales" es mayor que 1, la variable es multimodal y Excel solo muestra la primera moda que encuentra.</t>
        </is>
      </c>
    </row>
    <row r="11">
      <c r="B11" s="11" t="inlineStr">
        <is>
          <t>Edad: 13 valores empatan con frecuencia 2 (multimodal). Tiempo: 8, 10 y 12 empatan con frecuencia 4 (trimodal). Use =MODA.VARIOS() para verlos todos.</t>
        </is>
      </c>
    </row>
    <row r="13">
      <c r="B13" s="33" t="inlineStr">
        <is>
          <t>Satisfacción (cualitativa ordinal)</t>
        </is>
      </c>
    </row>
    <row r="14">
      <c r="B14" s="8" t="inlineStr">
        <is>
          <t>Categoría (en orden)</t>
        </is>
      </c>
      <c r="C14" s="8" t="inlineStr">
        <is>
          <t>fi</t>
        </is>
      </c>
      <c r="D14" s="8" t="inlineStr">
        <is>
          <t>Fi</t>
        </is>
      </c>
      <c r="E14" s="8" t="inlineStr">
        <is>
          <t>Posiciones</t>
        </is>
      </c>
    </row>
    <row r="15">
      <c r="B15" s="29" t="inlineStr">
        <is>
          <t>Regular</t>
        </is>
      </c>
      <c r="C15" s="17">
        <f>COUNTIF(Datos!$J$5:$J$44,B15)</f>
        <v/>
      </c>
      <c r="D15" s="17">
        <f>C15</f>
        <v/>
      </c>
      <c r="E15" s="17">
        <f>"1 – "&amp;D15</f>
        <v/>
      </c>
    </row>
    <row r="16">
      <c r="B16" s="29" t="inlineStr">
        <is>
          <t>Satisfecho</t>
        </is>
      </c>
      <c r="C16" s="17">
        <f>COUNTIF(Datos!$J$5:$J$44,B16)</f>
        <v/>
      </c>
      <c r="D16" s="17">
        <f>D15+C16</f>
        <v/>
      </c>
      <c r="E16" s="17">
        <f>D15+1&amp;" – "&amp;D16</f>
        <v/>
      </c>
    </row>
    <row r="17">
      <c r="B17" s="29" t="inlineStr">
        <is>
          <t>Muy satisfecho</t>
        </is>
      </c>
      <c r="C17" s="17">
        <f>COUNTIF(Datos!$J$5:$J$44,B17)</f>
        <v/>
      </c>
      <c r="D17" s="17">
        <f>D16+C17</f>
        <v/>
      </c>
      <c r="E17" s="17">
        <f>D16+1&amp;" – "&amp;D17</f>
        <v/>
      </c>
    </row>
    <row r="19">
      <c r="B19" s="34" t="inlineStr">
        <is>
          <t>Moda</t>
        </is>
      </c>
      <c r="C19" s="35">
        <f>INDEX(B15:B17,MATCH(MAX(C15:C17),C15:C17,0))</f>
        <v/>
      </c>
      <c r="D19" s="36" t="n"/>
      <c r="E19" s="37" t="n"/>
    </row>
    <row r="20">
      <c r="B20" s="34" t="inlineStr">
        <is>
          <t>Mediana</t>
        </is>
      </c>
      <c r="C20" s="35">
        <f>IF(D15&gt;=(D17+1)/2,B15,IF(D16&gt;=(D17+1)/2,B16,B17))</f>
        <v/>
      </c>
      <c r="D20" s="36" t="n"/>
      <c r="E20" s="37" t="n"/>
    </row>
    <row r="21">
      <c r="B21" s="11" t="inlineStr">
        <is>
          <t>Mediana: primera categoría cuya Fi alcanza la posición central (n+1)/2 = 20.5.</t>
        </is>
      </c>
    </row>
    <row r="23">
      <c r="B23" s="38" t="inlineStr">
        <is>
          <t>Evidencia: tome una captura de pantalla de esta hoja (y de la barra de fórmulas al seleccionar una celda) para adjuntarla al informe.</t>
        </is>
      </c>
    </row>
  </sheetData>
  <mergeCells count="2">
    <mergeCell ref="C20:E20"/>
    <mergeCell ref="C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2">
      <c r="B2" s="7" t="inlineStr">
        <is>
          <t>4. COMPARACIÓN: CÁLCULO MANUAL vs SOFTWARE</t>
        </is>
      </c>
    </row>
    <row r="4">
      <c r="B4" s="8" t="inlineStr">
        <is>
          <t>Variable</t>
        </is>
      </c>
      <c r="C4" s="8" t="inlineStr">
        <is>
          <t>Medida</t>
        </is>
      </c>
      <c r="D4" s="8" t="inlineStr">
        <is>
          <t>Manual</t>
        </is>
      </c>
      <c r="E4" s="8" t="inlineStr">
        <is>
          <t>Software</t>
        </is>
      </c>
      <c r="F4" s="8" t="inlineStr">
        <is>
          <t>¿Coinciden?</t>
        </is>
      </c>
    </row>
    <row r="5">
      <c r="B5" s="29" t="inlineStr">
        <is>
          <t>Edad</t>
        </is>
      </c>
      <c r="C5" s="12" t="inlineStr">
        <is>
          <t>Media</t>
        </is>
      </c>
      <c r="D5" s="39" t="n">
        <v>33.275</v>
      </c>
      <c r="E5" s="40">
        <f>'3. Software (Excel)'!C5</f>
        <v/>
      </c>
      <c r="F5" s="41">
        <f>IF(ROUND(D5,4)=ROUND(E5,4),"Sí","No")</f>
        <v/>
      </c>
    </row>
    <row r="6">
      <c r="B6" s="29" t="inlineStr">
        <is>
          <t>Edad</t>
        </is>
      </c>
      <c r="C6" s="12" t="inlineStr">
        <is>
          <t>Mediana</t>
        </is>
      </c>
      <c r="D6" s="39" t="n">
        <v>32.5</v>
      </c>
      <c r="E6" s="40">
        <f>'3. Software (Excel)'!D5</f>
        <v/>
      </c>
      <c r="F6" s="41">
        <f>IF(ROUND(D6,4)=ROUND(E6,4),"Sí","No")</f>
        <v/>
      </c>
    </row>
    <row r="7">
      <c r="B7" s="29" t="inlineStr">
        <is>
          <t>Productos</t>
        </is>
      </c>
      <c r="C7" s="12" t="inlineStr">
        <is>
          <t>Moda</t>
        </is>
      </c>
      <c r="D7" s="39" t="n">
        <v>3</v>
      </c>
      <c r="E7" s="40">
        <f>'3. Software (Excel)'!E6</f>
        <v/>
      </c>
      <c r="F7" s="41">
        <f>IF(ROUND(D7,4)=ROUND(E7,4),"Sí","No")</f>
        <v/>
      </c>
    </row>
    <row r="8">
      <c r="B8" s="29" t="inlineStr">
        <is>
          <t>Monto</t>
        </is>
      </c>
      <c r="C8" s="12" t="inlineStr">
        <is>
          <t>Media</t>
        </is>
      </c>
      <c r="D8" s="39" t="n">
        <v>199.2075</v>
      </c>
      <c r="E8" s="40">
        <f>'3. Software (Excel)'!C7</f>
        <v/>
      </c>
      <c r="F8" s="41">
        <f>IF(ROUND(D8,4)=ROUND(E8,4),"Sí","No")</f>
        <v/>
      </c>
    </row>
    <row r="9">
      <c r="B9" s="29" t="inlineStr">
        <is>
          <t>Monto</t>
        </is>
      </c>
      <c r="C9" s="12" t="inlineStr">
        <is>
          <t>Mediana</t>
        </is>
      </c>
      <c r="D9" s="39" t="n">
        <v>147.75</v>
      </c>
      <c r="E9" s="40">
        <f>'3. Software (Excel)'!D7</f>
        <v/>
      </c>
      <c r="F9" s="41">
        <f>IF(ROUND(D9,4)=ROUND(E9,4),"Sí","No")</f>
        <v/>
      </c>
    </row>
    <row r="10">
      <c r="B10" s="29" t="inlineStr">
        <is>
          <t>Tiempo</t>
        </is>
      </c>
      <c r="C10" s="12" t="inlineStr">
        <is>
          <t>Media</t>
        </is>
      </c>
      <c r="D10" s="39" t="n">
        <v>14.975</v>
      </c>
      <c r="E10" s="40">
        <f>'3. Software (Excel)'!C8</f>
        <v/>
      </c>
      <c r="F10" s="41">
        <f>IF(ROUND(D10,4)=ROUND(E10,4),"Sí","No")</f>
        <v/>
      </c>
    </row>
    <row r="11">
      <c r="B11" s="29" t="inlineStr">
        <is>
          <t>Tiempo</t>
        </is>
      </c>
      <c r="C11" s="12" t="inlineStr">
        <is>
          <t>Mediana</t>
        </is>
      </c>
      <c r="D11" s="39" t="n">
        <v>13</v>
      </c>
      <c r="E11" s="40">
        <f>'3. Software (Excel)'!D8</f>
        <v/>
      </c>
      <c r="F11" s="41">
        <f>IF(ROUND(D11,4)=ROUND(E11,4),"Sí","No")</f>
        <v/>
      </c>
    </row>
    <row r="13">
      <c r="B13" s="11" t="inlineStr">
        <is>
          <t>Manual (azul) = resultados de la hoja "2. Cálculo manual". Software (verde) = enlazado a la hoja "3. Software (Excel)".</t>
        </is>
      </c>
    </row>
    <row r="14">
      <c r="B14" s="11" t="inlineStr">
        <is>
          <t>Todos los resultados coinciden: el software usa las mismas definiciones (Σx/n, valor central, valor más frecuente); solo acelera el cálculo.</t>
        </is>
      </c>
    </row>
    <row r="15">
      <c r="B15" s="11" t="inlineStr">
        <is>
          <t>Precaución: si los montos guardados como texto no se corrigen, Excel los ignora y el promedio sale S/ 210.50 (n = 34) en vez de S/ 199.21.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B2:C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50" customWidth="1" min="3" max="3"/>
  </cols>
  <sheetData>
    <row r="2">
      <c r="B2" s="7" t="inlineStr">
        <is>
          <t>5. PREGUNTAS DE ANÁLISIS E INTERPRETACIÓN</t>
        </is>
      </c>
    </row>
    <row r="4">
      <c r="B4" s="20" t="inlineStr">
        <is>
          <t>1.</t>
        </is>
      </c>
      <c r="C4" s="42" t="inlineStr">
        <is>
          <t>¿Cuál es la edad promedio de los clientes? Interprete el resultado.</t>
        </is>
      </c>
    </row>
    <row r="5">
      <c r="C5" s="21" t="inlineStr">
        <is>
          <t>Rpta: x̄ = 1331 / 40 = 33.28 años. El cliente "típico" de la empresa es un adulto joven de aproximadamente 33 años; el público objetivo son personas de 21 a 48 años.</t>
        </is>
      </c>
    </row>
    <row r="7">
      <c r="B7" s="20" t="inlineStr">
        <is>
          <t>2.</t>
        </is>
      </c>
      <c r="C7" s="42" t="inlineStr">
        <is>
          <t>¿Cuál es la edad mediana? ¿Qué significa este valor en el grupo de clientes?</t>
        </is>
      </c>
    </row>
    <row r="8">
      <c r="C8" s="21" t="inlineStr">
        <is>
          <t>Rpta: Me = 32.5 años. El 50% de los clientes tiene 32 años o menos y el otro 50% tiene 33 años o más. Al ser casi igual a la media, las edades son bastante simétricas.</t>
        </is>
      </c>
    </row>
    <row r="10">
      <c r="B10" s="20" t="inlineStr">
        <is>
          <t>3.</t>
        </is>
      </c>
      <c r="C10" s="42" t="inlineStr">
        <is>
          <t>¿Cuál es el número de productos adquirido con mayor frecuencia?</t>
        </is>
      </c>
    </row>
    <row r="11">
      <c r="C11" s="21" t="inlineStr">
        <is>
          <t>Rpta: Mo = 3 productos, comprado por 8 de los 40 clientes (20%).</t>
        </is>
      </c>
    </row>
    <row r="13">
      <c r="B13" s="20" t="inlineStr">
        <is>
          <t>4.</t>
        </is>
      </c>
      <c r="C13" s="42" t="inlineStr">
        <is>
          <t>¿Cuál es el monto promedio de compra? Interprete el resultado en el contexto de la empresa.</t>
        </is>
      </c>
    </row>
    <row r="14">
      <c r="C14" s="21" t="inlineStr">
        <is>
          <t>Rpta: x̄ = S/ 199.21. Si las ventas de la jornada (S/ 7,968.30) se repartieran por igual, cada cliente habría gastado S/ 199.21. Sirve para proyectar ingresos:</t>
        </is>
      </c>
    </row>
    <row r="15">
      <c r="C15" s="21" t="inlineStr">
        <is>
          <t>p. ej., 100 clientes ≈ S/ 19,921. Pero ese valor está influido por pocas compras grandes.</t>
        </is>
      </c>
    </row>
    <row r="17">
      <c r="B17" s="20" t="inlineStr">
        <is>
          <t>5.</t>
        </is>
      </c>
      <c r="C17" s="42" t="inlineStr">
        <is>
          <t>¿Cuál es la mediana del monto de compra? Interprete este resultado.</t>
        </is>
      </c>
    </row>
    <row r="18">
      <c r="C18" s="21" t="inlineStr">
        <is>
          <t>Rpta: Me = S/ 147.75. La mitad de los clientes gastó S/ 147.75 o menos y la otra mitad gastó más. Es el monto que divide a los clientes en dos grupos de igual tamaño.</t>
        </is>
      </c>
    </row>
    <row r="20">
      <c r="B20" s="20" t="inlineStr">
        <is>
          <t>6.</t>
        </is>
      </c>
      <c r="C20" s="42" t="inlineStr">
        <is>
          <t>Compare la media y la mediana del monto de compra. ¿Son iguales o diferentes?</t>
        </is>
      </c>
    </row>
    <row r="21">
      <c r="C21" s="21" t="inlineStr">
        <is>
          <t>Rpta: Son diferentes: media S/ 199.21 &gt; mediana S/ 147.75 (diferencia S/ 51.46). Indica asimetría positiva: la mayoría compra montos bajos o medios</t>
        </is>
      </c>
    </row>
    <row r="22">
      <c r="C22" s="21" t="inlineStr">
        <is>
          <t>y unos pocos clientes con compras altas elevan el promedio.</t>
        </is>
      </c>
    </row>
    <row r="24">
      <c r="B24" s="20" t="inlineStr">
        <is>
          <t>7.</t>
        </is>
      </c>
      <c r="C24" s="42" t="inlineStr">
        <is>
          <t>¿Qué clientes o valores podrían estar influyendo en el monto promedio de compra?</t>
        </is>
      </c>
    </row>
    <row r="25">
      <c r="C25" s="21" t="inlineStr">
        <is>
          <t>Rpta: Los montos más altos: cliente 12 (S/ 510), 29 (S/ 480), 7 (S/ 420), 34 (S/ 410), 21 (S/ 390) y 17 (S/ 350). Todos pidieron Factura, llevaron 7 a 9 productos</t>
        </is>
      </c>
    </row>
    <row r="26">
      <c r="C26" s="21" t="inlineStr">
        <is>
          <t>y tuvieron tiempos de atención largos (22 a 30 min); probablemente son empresas o compras al por mayor.</t>
        </is>
      </c>
    </row>
    <row r="28">
      <c r="B28" s="20" t="inlineStr">
        <is>
          <t>8.</t>
        </is>
      </c>
      <c r="C28" s="42" t="inlineStr">
        <is>
          <t>¿Cuál es el tiempo promedio de atención?</t>
        </is>
      </c>
    </row>
    <row r="29">
      <c r="C29" s="21" t="inlineStr">
        <is>
          <t>Rpta: x̄ = 599 / 40 = 14.98 minutos (casi 15 minutos por cliente).</t>
        </is>
      </c>
    </row>
    <row r="31">
      <c r="B31" s="20" t="inlineStr">
        <is>
          <t>9.</t>
        </is>
      </c>
      <c r="C31" s="42" t="inlineStr">
        <is>
          <t>¿Cuál es el tiempo mediano de atención?</t>
        </is>
      </c>
    </row>
    <row r="32">
      <c r="C32" s="21" t="inlineStr">
        <is>
          <t>Rpta: Me = 13 minutos: la mitad de los clientes fue atendida en 13 minutos o menos.</t>
        </is>
      </c>
    </row>
    <row r="34">
      <c r="B34" s="20" t="inlineStr">
        <is>
          <t>10.</t>
        </is>
      </c>
      <c r="C34" s="42" t="inlineStr">
        <is>
          <t>¿Cuál es el tiempo de atención más frecuente?</t>
        </is>
      </c>
    </row>
    <row r="35">
      <c r="C35" s="21" t="inlineStr">
        <is>
          <t>Rpta: Hay tres modas: 8, 10 y 12 minutos (4 clientes cada uno). La distribución es trimodal.</t>
        </is>
      </c>
    </row>
    <row r="37">
      <c r="B37" s="20" t="inlineStr">
        <is>
          <t>11.</t>
        </is>
      </c>
      <c r="C37" s="42" t="inlineStr">
        <is>
          <t>Compare la media, mediana y moda del tiempo de atención. ¿Qué observa?</t>
        </is>
      </c>
    </row>
    <row r="38">
      <c r="C38" s="21" t="inlineStr">
        <is>
          <t>Rpta: Moda (8–12) &lt; Mediana (13) &lt; Media (14.98). Las tres son distintas y la media es la mayor → asimetría positiva: la mayoría es atendida rápido</t>
        </is>
      </c>
    </row>
    <row r="39">
      <c r="C39" s="21" t="inlineStr">
        <is>
          <t>y unos pocos casos largos (25–30 min, ligados a compras grandes) elevan el promedio. Para describir el tiempo típico es mejor la mediana.</t>
        </is>
      </c>
    </row>
    <row r="41">
      <c r="B41" s="20" t="inlineStr">
        <is>
          <t>12.</t>
        </is>
      </c>
      <c r="C41" s="42" t="inlineStr">
        <is>
          <t>¿Cuál es el nivel de satisfacción más frecuente?</t>
        </is>
      </c>
    </row>
    <row r="42">
      <c r="C42" s="21" t="inlineStr">
        <is>
          <t>Rpta: Mo = "Satisfecho" (18 clientes, 45%). La mediana también es "Satisfecho".</t>
        </is>
      </c>
    </row>
    <row r="44">
      <c r="B44" s="20" t="inlineStr">
        <is>
          <t>13.</t>
        </is>
      </c>
      <c r="C44" s="42" t="inlineStr">
        <is>
          <t>¿Por qué la media aritmética no debe calcularse para variables como sexo, comprobante o medio de pago?</t>
        </is>
      </c>
    </row>
    <row r="45">
      <c r="C45" s="21" t="inlineStr">
        <is>
          <t>Rpta: Porque son variables cualitativas nominales: sus valores son nombres o categorías, no cantidades. No se pueden sumar ni dividir ("Boleta + Factura" no tiene sentido).</t>
        </is>
      </c>
    </row>
    <row r="46">
      <c r="C46" s="21" t="inlineStr">
        <is>
          <t>Si se les asignan códigos (1, 2, 3) estos son arbitrarios y su promedio no significa nada. Para ellas solo es válida la moda.</t>
        </is>
      </c>
    </row>
    <row r="48">
      <c r="B48" s="20" t="inlineStr">
        <is>
          <t>14.</t>
        </is>
      </c>
      <c r="C48" s="42" t="inlineStr">
        <is>
          <t>¿Puede calcularse la moda para una variable cualitativa? Explique y presente un ejemplo de la base de datos.</t>
        </is>
      </c>
    </row>
    <row r="49">
      <c r="C49" s="21" t="inlineStr">
        <is>
          <t>Rpta: Sí. La moda solo requiere contar frecuencias, por eso es la única medida de posición válida para variables nominales. Ejemplos:</t>
        </is>
      </c>
    </row>
    <row r="50">
      <c r="C50" s="21" t="inlineStr">
        <is>
          <t>Medio de pago: Mo = Yape (13 clientes, 32.5%).  Comprobante: Mo = Boleta (17 clientes, 42.5%).  Reclamo: Mo = No (34 clientes, 85%).</t>
        </is>
      </c>
    </row>
    <row r="51">
      <c r="C51" s="21" t="inlineStr">
        <is>
          <t>Sexo: F = 20 y M = 20 → distribución bimodal (no hay una sola moda).</t>
        </is>
      </c>
    </row>
    <row r="53">
      <c r="B53" s="20" t="inlineStr">
        <is>
          <t>15.</t>
        </is>
      </c>
      <c r="C53" s="42" t="inlineStr">
        <is>
          <t>¿En qué situaciones la mediana puede ser más informativa que la media aritmética?</t>
        </is>
      </c>
    </row>
    <row r="54">
      <c r="C54" s="21" t="inlineStr">
        <is>
          <t>Rpta: • Cuando hay valores extremos (atípicos) o la distribución es asimétrica, como el Monto y el Tiempo de esta base: la mediana no se deja arrastrar por ellos.</t>
        </is>
      </c>
    </row>
    <row r="55">
      <c r="C55" s="21" t="inlineStr">
        <is>
          <t>• En variables ordinales (Satisfacción), donde la media no se puede calcular pero la mediana sí.</t>
        </is>
      </c>
    </row>
    <row r="56">
      <c r="C56" s="21" t="inlineStr">
        <is>
          <t>• En variables discretas, donde la media puede dar un valor imposible (4.625 productos) y la mediana da un valor real (4).</t>
        </is>
      </c>
    </row>
    <row r="58">
      <c r="B58" s="20" t="inlineStr">
        <is>
          <t>16.</t>
        </is>
      </c>
      <c r="C58" s="42" t="inlineStr">
        <is>
          <t>A partir de los resultados obtenidos, escriba tres conclusiones estadísticas que puedan ser útiles para la empresa.</t>
        </is>
      </c>
    </row>
    <row r="59">
      <c r="C59" s="21" t="inlineStr">
        <is>
          <t>Rpta: 1. El monto típico de compra es de unos S/ 148 (mediana), menor que el promedio de S/ 199: la empresa depende de pocos clientes grandes (con factura).</t>
        </is>
      </c>
    </row>
    <row r="60">
      <c r="C60" s="21" t="inlineStr">
        <is>
          <t xml:space="preserve">   Conviene fidelizar a esos clientes y, a la vez, crear promociones para subir el ticket de la mayoría que compra menos de S/ 150.</t>
        </is>
      </c>
    </row>
    <row r="61">
      <c r="C61" s="21" t="inlineStr">
        <is>
          <t>2. La atención habitual dura entre 8 y 13 minutos (modas y mediana), pero el promedio sube a 15 min por las compras grandes (hasta 30 min).</t>
        </is>
      </c>
    </row>
    <row r="62">
      <c r="C62" s="21" t="inlineStr">
        <is>
          <t xml:space="preserve">   Una caja o canal preferente para pedidos grandes con factura reduciría las esperas de los demás clientes.</t>
        </is>
      </c>
    </row>
    <row r="63">
      <c r="C63" s="21" t="inlineStr">
        <is>
          <t>3. El cliente típico es un adulto de unos 33 años que compra 3–4 productos y queda "Satisfecho" (moda y mediana). El reto es pasar de</t>
        </is>
      </c>
    </row>
    <row r="64">
      <c r="C64" s="21" t="inlineStr">
        <is>
          <t xml:space="preserve">   "Satisfecho" a "Muy satisfecho", sobre todo en el grupo "Regular" (11 clientes), que concentra la mitad de los reclamos (3 de 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2026-10-02T06:42:08Z</dcterms:created>
  <dcterms:modified xsi:type="dcterms:W3CDTF">2026-10-02T06:42:08Z</dcterms:modified>
</cp:coreProperties>
</file>